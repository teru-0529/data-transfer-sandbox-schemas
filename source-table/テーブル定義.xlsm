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source-table\"/>
    </mc:Choice>
  </mc:AlternateContent>
  <xr:revisionPtr revIDLastSave="0" documentId="13_ncr:1_{F9634E3E-FACB-424F-9654-9B943145CD1A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受注" sheetId="237" r:id="rId4"/>
    <sheet name="受注明細" sheetId="238" r:id="rId5"/>
    <sheet name="商品" sheetId="239" r:id="rId6"/>
    <sheet name="担当者" sheetId="240" r:id="rId7"/>
    <sheet name="WORK" sheetId="5" state="hidden" r:id="rId8"/>
  </sheets>
  <functionGroups builtInGroupCount="19"/>
  <definedNames>
    <definedName name="CURRENT_DATETIME">45636.7505439815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受注!$D$1</definedName>
    <definedName name="ERRORS" localSheetId="4">受注明細!$D$1</definedName>
    <definedName name="ERRORS" localSheetId="5">商品!$D$1</definedName>
    <definedName name="ERRORS" localSheetId="6">担当者!$D$1</definedName>
    <definedName name="FIELD_AREA" localSheetId="2">テンプレート!$AI$6:$AJ$105</definedName>
    <definedName name="FIELD_AREA" localSheetId="3">受注!$AI$6:$AJ$105</definedName>
    <definedName name="FIELD_AREA" localSheetId="4">受注明細!$AI$6:$AJ$105</definedName>
    <definedName name="FIELD_AREA" localSheetId="5">商品!$AI$6:$AJ$105</definedName>
    <definedName name="FIELD_AREA" localSheetId="6">担当者!$AI$6:$AJ$105</definedName>
    <definedName name="FIELD_COUNT" localSheetId="2">テンプレート!$AI$5</definedName>
    <definedName name="FIELD_COUNT" localSheetId="3">受注!$AI$5</definedName>
    <definedName name="FIELD_COUNT" localSheetId="4">受注明細!$AI$5</definedName>
    <definedName name="FIELD_COUNT" localSheetId="5">商品!$AI$5</definedName>
    <definedName name="FIELD_COUNT" localSheetId="6">担当者!$AI$5</definedName>
    <definedName name="FIELD_COUNT">#REF!</definedName>
    <definedName name="FIELD_COUNT_NN" localSheetId="2">テンプレート!$AJ$5</definedName>
    <definedName name="FIELD_COUNT_NN" localSheetId="3">受注!$AJ$5</definedName>
    <definedName name="FIELD_COUNT_NN" localSheetId="4">受注明細!$AJ$5</definedName>
    <definedName name="FIELD_COUNT_NN" localSheetId="5">商品!$AJ$5</definedName>
    <definedName name="FIELD_COUNT_NN" localSheetId="6">担当者!$AJ$5</definedName>
    <definedName name="FIELD_COUNT_NN">#REF!</definedName>
    <definedName name="FIELD_NAME" localSheetId="2">テンプレート!$B$6:$B$105</definedName>
    <definedName name="FIELD_NAME" localSheetId="3">受注!$B$6:$B$105</definedName>
    <definedName name="FIELD_NAME" localSheetId="4">受注明細!$B$6:$B$105</definedName>
    <definedName name="FIELD_NAME" localSheetId="5">商品!$B$6:$B$105</definedName>
    <definedName name="FIELD_NAME" localSheetId="6">担当者!$B$6:$B$105</definedName>
    <definedName name="FIELD_NAME">#REF!</definedName>
    <definedName name="FIELD_NAME__" localSheetId="2">OFFSET(テンプレート!FIELD_NAME,,,,2)</definedName>
    <definedName name="FIELD_NAME__" localSheetId="3">OFFSET(受注!FIELD_NAME,,,,2)</definedName>
    <definedName name="FIELD_NAME__" localSheetId="4">OFFSET(受注明細!FIELD_NAME,,,,2)</definedName>
    <definedName name="FIELD_NAME__" localSheetId="5">OFFSET(商品!FIELD_NAME,,,,2)</definedName>
    <definedName name="FIELD_NAME__" localSheetId="6">OFFSET(担当者!FIELD_NAME,,,,2)</definedName>
    <definedName name="FIELD_NN" localSheetId="2">テンプレート!$E$6:$E$105</definedName>
    <definedName name="FIELD_NN" localSheetId="3">受注!$E$6:$E$105</definedName>
    <definedName name="FIELD_NN" localSheetId="4">受注明細!$E$6:$E$105</definedName>
    <definedName name="FIELD_NN" localSheetId="5">商品!$E$6:$E$105</definedName>
    <definedName name="FIELD_NN" localSheetId="6">担当者!$E$6:$E$105</definedName>
    <definedName name="FIELDリスト" localSheetId="2">OFFSET(テンプレート!$AI$6,,,テンプレート!FIELD_COUNT,)</definedName>
    <definedName name="FIELDリスト" localSheetId="3">OFFSET(受注!$AI$6,,,受注!FIELD_COUNT,)</definedName>
    <definedName name="FIELDリスト" localSheetId="4">OFFSET(受注明細!$AI$6,,,受注明細!FIELD_COUNT,)</definedName>
    <definedName name="FIELDリスト" localSheetId="5">OFFSET(商品!$AI$6,,,商品!FIELD_COUNT,)</definedName>
    <definedName name="FIELDリスト" localSheetId="6">OFFSET(担当者!$AI$6,,,担当者!FIELD_COUNT,)</definedName>
    <definedName name="FIELDリストNN" localSheetId="2">OFFSET(テンプレート!$AJ$6,,,テンプレート!FIELD_COUNT_NN,)</definedName>
    <definedName name="FIELDリストNN" localSheetId="3">OFFSET(受注!$AJ$6,,,受注!FIELD_COUNT_NN,)</definedName>
    <definedName name="FIELDリストNN" localSheetId="4">OFFSET(受注明細!$AJ$6,,,受注明細!FIELD_COUNT_NN,)</definedName>
    <definedName name="FIELDリストNN" localSheetId="5">OFFSET(商品!$AJ$6,,,商品!FIELD_COUNT_NN,)</definedName>
    <definedName name="FIELDリストNN" localSheetId="6">OFFSET(担当者!$AJ$6,,,担当者!FIELD_COUNT_NN,)</definedName>
    <definedName name="FK_ENABLE_1" localSheetId="2">テンプレート!$AL$106:$AL$116</definedName>
    <definedName name="FK_ENABLE_1" localSheetId="3">受注!$AL$106:$AL$116</definedName>
    <definedName name="FK_ENABLE_1" localSheetId="4">受注明細!$AL$106:$AL$116</definedName>
    <definedName name="FK_ENABLE_1" localSheetId="5">商品!$AL$106:$AL$116</definedName>
    <definedName name="FK_ENABLE_1" localSheetId="6">担当者!$AL$106:$AL$116</definedName>
    <definedName name="FK_ENABLE_2" localSheetId="2">テンプレート!$AM$106:$AM$116</definedName>
    <definedName name="FK_ENABLE_2" localSheetId="3">受注!$AM$106:$AM$116</definedName>
    <definedName name="FK_ENABLE_2" localSheetId="4">受注明細!$AM$106:$AM$116</definedName>
    <definedName name="FK_ENABLE_2" localSheetId="5">商品!$AM$106:$AM$116</definedName>
    <definedName name="FK_ENABLE_2" localSheetId="6">担当者!$AM$106:$AM$116</definedName>
    <definedName name="FK_ENABLE_3" localSheetId="2">テンプレート!$AN$106:$AN$116</definedName>
    <definedName name="FK_ENABLE_3" localSheetId="3">受注!$AN$106:$AN$116</definedName>
    <definedName name="FK_ENABLE_3" localSheetId="4">受注明細!$AN$106:$AN$116</definedName>
    <definedName name="FK_ENABLE_3" localSheetId="5">商品!$AN$106:$AN$116</definedName>
    <definedName name="FK_ENABLE_3" localSheetId="6">担当者!$AN$106:$AN$116</definedName>
    <definedName name="FK_ENABLE_4" localSheetId="2">テンプレート!$AO$106:$AO$116</definedName>
    <definedName name="FK_ENABLE_4" localSheetId="3">受注!$AO$106:$AO$116</definedName>
    <definedName name="FK_ENABLE_4" localSheetId="4">受注明細!$AO$106:$AO$116</definedName>
    <definedName name="FK_ENABLE_4" localSheetId="5">商品!$AO$106:$AO$116</definedName>
    <definedName name="FK_ENABLE_4" localSheetId="6">担当者!$AO$106:$AO$116</definedName>
    <definedName name="FK_ENABLE_5" localSheetId="2">テンプレート!$AP$106:$AP$116</definedName>
    <definedName name="FK_ENABLE_5" localSheetId="3">受注!$AP$106:$AP$116</definedName>
    <definedName name="FK_ENABLE_5" localSheetId="4">受注明細!$AP$106:$AP$116</definedName>
    <definedName name="FK_ENABLE_5" localSheetId="5">商品!$AP$106:$AP$116</definedName>
    <definedName name="FK_ENABLE_5" localSheetId="6">担当者!$AP$106:$AP$116</definedName>
    <definedName name="FK_FIELD_1" localSheetId="2">OFFSET(テンプレート!$AL$6,,,テンプレート!$AL$5,)</definedName>
    <definedName name="FK_FIELD_1" localSheetId="3">OFFSET(受注!$AL$6,,,受注!$AL$5,)</definedName>
    <definedName name="FK_FIELD_1" localSheetId="4">OFFSET(受注明細!$AL$6,,,受注明細!$AL$5,)</definedName>
    <definedName name="FK_FIELD_1" localSheetId="5">OFFSET(商品!$AL$6,,,商品!$AL$5,)</definedName>
    <definedName name="FK_FIELD_1" localSheetId="6">OFFSET(担当者!$AL$6,,,担当者!$AL$5,)</definedName>
    <definedName name="FK_FIELD_2" localSheetId="2">OFFSET(テンプレート!$AM$6,,,テンプレート!$AM$5,)</definedName>
    <definedName name="FK_FIELD_2" localSheetId="3">OFFSET(受注!$AM$6,,,受注!$AM$5,)</definedName>
    <definedName name="FK_FIELD_2" localSheetId="4">OFFSET(受注明細!$AM$6,,,受注明細!$AM$5,)</definedName>
    <definedName name="FK_FIELD_2" localSheetId="5">OFFSET(商品!$AM$6,,,商品!$AM$5,)</definedName>
    <definedName name="FK_FIELD_2" localSheetId="6">OFFSET(担当者!$AM$6,,,担当者!$AM$5,)</definedName>
    <definedName name="FK_FIELD_3" localSheetId="2">OFFSET(テンプレート!$AN$6,,,テンプレート!$AN$5,)</definedName>
    <definedName name="FK_FIELD_3" localSheetId="3">OFFSET(受注!$AN$6,,,受注!$AN$5,)</definedName>
    <definedName name="FK_FIELD_3" localSheetId="4">OFFSET(受注明細!$AN$6,,,受注明細!$AN$5,)</definedName>
    <definedName name="FK_FIELD_3" localSheetId="5">OFFSET(商品!$AN$6,,,商品!$AN$5,)</definedName>
    <definedName name="FK_FIELD_3" localSheetId="6">OFFSET(担当者!$AN$6,,,担当者!$AN$5,)</definedName>
    <definedName name="FK_FIELD_4" localSheetId="2">OFFSET(テンプレート!$AO$6,,,テンプレート!$AO$5,)</definedName>
    <definedName name="FK_FIELD_4" localSheetId="3">OFFSET(受注!$AO$6,,,受注!$AO$5,)</definedName>
    <definedName name="FK_FIELD_4" localSheetId="4">OFFSET(受注明細!$AO$6,,,受注明細!$AO$5,)</definedName>
    <definedName name="FK_FIELD_4" localSheetId="5">OFFSET(商品!$AO$6,,,商品!$AO$5,)</definedName>
    <definedName name="FK_FIELD_4" localSheetId="6">OFFSET(担当者!$AO$6,,,担当者!$AO$5,)</definedName>
    <definedName name="FK_FIELD_5" localSheetId="2">OFFSET(テンプレート!$AP$6,,,テンプレート!$AP$5,)</definedName>
    <definedName name="FK_FIELD_5" localSheetId="3">OFFSET(受注!$AP$6,,,受注!$AP$5,)</definedName>
    <definedName name="FK_FIELD_5" localSheetId="4">OFFSET(受注明細!$AP$6,,,受注明細!$AP$5,)</definedName>
    <definedName name="FK_FIELD_5" localSheetId="5">OFFSET(商品!$AP$6,,,商品!$AP$5,)</definedName>
    <definedName name="FK_FIELD_5" localSheetId="6">OFFSET(担当者!$AP$6,,,担当者!$AP$5,)</definedName>
    <definedName name="FK_OPTION">WORK!$E$6:$E$9</definedName>
    <definedName name="INVALID">FALSE</definedName>
    <definedName name="IS_MASTER" localSheetId="2">テンプレート!$F$2</definedName>
    <definedName name="IS_MASTER" localSheetId="3">受注!$F$2</definedName>
    <definedName name="IS_MASTER" localSheetId="4">受注明細!$F$2</definedName>
    <definedName name="IS_MASTER" localSheetId="5">商品!$F$2</definedName>
    <definedName name="IS_MASTER" localSheetId="6">担当者!$F$2</definedName>
    <definedName name="MODIFY_DATETIME">45636.7505439815</definedName>
    <definedName name="PK_AREA" localSheetId="2">テンプレート!$L$8:$P$8</definedName>
    <definedName name="PK_AREA" localSheetId="3">受注!$L$8:$P$8</definedName>
    <definedName name="PK_AREA" localSheetId="4">受注明細!$L$8:$P$8</definedName>
    <definedName name="PK_AREA" localSheetId="5">商品!$L$8:$P$8</definedName>
    <definedName name="PK_AREA" localSheetId="6">担当者!$L$8:$P$8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受注!$AK$6:$AK$105</definedName>
    <definedName name="TABLE_AREA" localSheetId="4">受注明細!$AK$6:$AK$105</definedName>
    <definedName name="TABLE_AREA" localSheetId="5">商品!$AK$6:$AK$105</definedName>
    <definedName name="TABLE_AREA" localSheetId="6">担当者!$AK$6:$AK$105</definedName>
    <definedName name="TABLE_COUNT" localSheetId="2">テンプレート!$AK$5</definedName>
    <definedName name="TABLE_COUNT" localSheetId="3">受注!$AK$5</definedName>
    <definedName name="TABLE_COUNT" localSheetId="4">受注明細!$AK$5</definedName>
    <definedName name="TABLE_COUNT" localSheetId="5">商品!$AK$5</definedName>
    <definedName name="TABLE_COUNT" localSheetId="6">担当者!$AK$5</definedName>
    <definedName name="TABLE_COUNT">#REF!</definedName>
    <definedName name="TABLE_EN" localSheetId="2">テンプレート!$C$2</definedName>
    <definedName name="TABLE_EN" localSheetId="3">受注!$C$2</definedName>
    <definedName name="TABLE_EN" localSheetId="4">受注明細!$C$2</definedName>
    <definedName name="TABLE_EN" localSheetId="5">商品!$C$2</definedName>
    <definedName name="TABLE_EN" localSheetId="6">担当者!$C$2</definedName>
    <definedName name="TABLE_JP" localSheetId="2">テンプレート!$B$2</definedName>
    <definedName name="TABLE_JP" localSheetId="3">受注!$B$2</definedName>
    <definedName name="TABLE_JP" localSheetId="4">受注明細!$B$2</definedName>
    <definedName name="TABLE_JP" localSheetId="5">商品!$B$2</definedName>
    <definedName name="TABLE_JP" localSheetId="6">担当者!$B$2</definedName>
    <definedName name="TABLE_NO" localSheetId="2">テンプレート!$D$2</definedName>
    <definedName name="TABLE_NO" localSheetId="3">受注!$D$2</definedName>
    <definedName name="TABLE_NO" localSheetId="4">受注明細!$D$2</definedName>
    <definedName name="TABLE_NO" localSheetId="5">商品!$D$2</definedName>
    <definedName name="TABLE_NO" localSheetId="6">担当者!$D$2</definedName>
    <definedName name="TABLEリスト" localSheetId="2">OFFSET(テンプレート!$AK$6,,,テンプレート!TABLE_COUNT,)</definedName>
    <definedName name="TABLEリスト" localSheetId="3">OFFSET(受注!$AK$6,,,受注!TABLE_COUNT,)</definedName>
    <definedName name="TABLEリスト" localSheetId="4">OFFSET(受注明細!$AK$6,,,受注明細!TABLE_COUNT,)</definedName>
    <definedName name="TABLEリスト" localSheetId="5">OFFSET(商品!$AK$6,,,商品!TABLE_COUNT,)</definedName>
    <definedName name="TABLEリスト" localSheetId="6">OFFSET(担当者!$AK$6,,,担当者!TABLE_COUNT,)</definedName>
    <definedName name="UNIQUE_AREA" localSheetId="2">テンプレート!$L$13:$P$22</definedName>
    <definedName name="UNIQUE_AREA" localSheetId="3">受注!$L$13:$P$22</definedName>
    <definedName name="UNIQUE_AREA" localSheetId="4">受注明細!$L$13:$P$22</definedName>
    <definedName name="UNIQUE_AREA" localSheetId="5">商品!$L$13:$P$22</definedName>
    <definedName name="UNIQUE_AREA" localSheetId="6">担当者!$L$13:$P$22</definedName>
    <definedName name="UNIQUE_EXIST" localSheetId="2">テンプレート!$R$11</definedName>
    <definedName name="UNIQUE_EXIST" localSheetId="3">受注!$R$11</definedName>
    <definedName name="UNIQUE_EXIST" localSheetId="4">受注明細!$R$11</definedName>
    <definedName name="UNIQUE_EXIST" localSheetId="5">商品!$R$11</definedName>
    <definedName name="UNIQUE_EXIST" localSheetId="6">担当者!$R$11</definedName>
    <definedName name="UNIQUE_LIST" localSheetId="2">テンプレート!$R$13:$R$22</definedName>
    <definedName name="UNIQUE_LIST" localSheetId="3">受注!$R$13:$R$22</definedName>
    <definedName name="UNIQUE_LIST" localSheetId="4">受注明細!$R$13:$R$22</definedName>
    <definedName name="UNIQUE_LIST" localSheetId="5">商品!$R$13:$R$22</definedName>
    <definedName name="UNIQUE_LIST" localSheetId="6">担当者!$R$13:$R$22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0" l="1"/>
  <c r="T105" i="240"/>
  <c r="H105" i="240"/>
  <c r="G105" i="240"/>
  <c r="D105" i="240"/>
  <c r="C105" i="240"/>
  <c r="U104" i="240"/>
  <c r="T104" i="240"/>
  <c r="H104" i="240"/>
  <c r="G104" i="240"/>
  <c r="D104" i="240"/>
  <c r="C104" i="240"/>
  <c r="U103" i="240"/>
  <c r="T103" i="240"/>
  <c r="H103" i="240"/>
  <c r="G103" i="240"/>
  <c r="D103" i="240"/>
  <c r="C103" i="240"/>
  <c r="U102" i="240"/>
  <c r="T102" i="240"/>
  <c r="H102" i="240"/>
  <c r="G102" i="240"/>
  <c r="D102" i="240"/>
  <c r="C102" i="240"/>
  <c r="U101" i="240"/>
  <c r="T101" i="240"/>
  <c r="H101" i="240"/>
  <c r="G101" i="240"/>
  <c r="D101" i="240"/>
  <c r="C101" i="240"/>
  <c r="U100" i="240"/>
  <c r="T100" i="240"/>
  <c r="H100" i="240"/>
  <c r="G100" i="240"/>
  <c r="D100" i="240"/>
  <c r="C100" i="240"/>
  <c r="U99" i="240"/>
  <c r="T99" i="240"/>
  <c r="H99" i="240"/>
  <c r="G99" i="240"/>
  <c r="D99" i="240"/>
  <c r="C99" i="240"/>
  <c r="U98" i="240"/>
  <c r="T98" i="240"/>
  <c r="H98" i="240"/>
  <c r="G98" i="240"/>
  <c r="D98" i="240"/>
  <c r="C98" i="240"/>
  <c r="U97" i="240"/>
  <c r="T97" i="240"/>
  <c r="H97" i="240"/>
  <c r="G97" i="240"/>
  <c r="D97" i="240"/>
  <c r="C97" i="240"/>
  <c r="U96" i="240"/>
  <c r="T96" i="240"/>
  <c r="H96" i="240"/>
  <c r="G96" i="240"/>
  <c r="D96" i="240"/>
  <c r="C96" i="240"/>
  <c r="U95" i="240"/>
  <c r="T95" i="240"/>
  <c r="H95" i="240"/>
  <c r="G95" i="240"/>
  <c r="D95" i="240"/>
  <c r="C95" i="240"/>
  <c r="U94" i="240"/>
  <c r="T94" i="240"/>
  <c r="H94" i="240"/>
  <c r="G94" i="240"/>
  <c r="D94" i="240"/>
  <c r="C94" i="240"/>
  <c r="U93" i="240"/>
  <c r="T93" i="240"/>
  <c r="H93" i="240"/>
  <c r="G93" i="240"/>
  <c r="D93" i="240"/>
  <c r="C93" i="240"/>
  <c r="U92" i="240"/>
  <c r="T92" i="240"/>
  <c r="H92" i="240"/>
  <c r="G92" i="240"/>
  <c r="D92" i="240"/>
  <c r="C92" i="240"/>
  <c r="U91" i="240"/>
  <c r="T91" i="240"/>
  <c r="H91" i="240"/>
  <c r="G91" i="240"/>
  <c r="D91" i="240"/>
  <c r="C91" i="240"/>
  <c r="U90" i="240"/>
  <c r="T90" i="240"/>
  <c r="H90" i="240"/>
  <c r="G90" i="240"/>
  <c r="D90" i="240"/>
  <c r="C90" i="240"/>
  <c r="U89" i="240"/>
  <c r="T89" i="240"/>
  <c r="H89" i="240"/>
  <c r="G89" i="240"/>
  <c r="D89" i="240"/>
  <c r="C89" i="240"/>
  <c r="U88" i="240"/>
  <c r="T88" i="240"/>
  <c r="H88" i="240"/>
  <c r="G88" i="240"/>
  <c r="D88" i="240"/>
  <c r="C88" i="240"/>
  <c r="U87" i="240"/>
  <c r="T87" i="240"/>
  <c r="H87" i="240"/>
  <c r="G87" i="240"/>
  <c r="D87" i="240"/>
  <c r="C87" i="240"/>
  <c r="U86" i="240"/>
  <c r="T86" i="240"/>
  <c r="H86" i="240"/>
  <c r="G86" i="240"/>
  <c r="D86" i="240"/>
  <c r="C86" i="240"/>
  <c r="U85" i="240"/>
  <c r="T85" i="240"/>
  <c r="H85" i="240"/>
  <c r="G85" i="240"/>
  <c r="D85" i="240"/>
  <c r="C85" i="240"/>
  <c r="U84" i="240"/>
  <c r="T84" i="240"/>
  <c r="H84" i="240"/>
  <c r="G84" i="240"/>
  <c r="D84" i="240"/>
  <c r="C84" i="240"/>
  <c r="U83" i="240"/>
  <c r="T83" i="240"/>
  <c r="H83" i="240"/>
  <c r="G83" i="240"/>
  <c r="D83" i="240"/>
  <c r="C83" i="240"/>
  <c r="U82" i="240"/>
  <c r="T82" i="240"/>
  <c r="H82" i="240"/>
  <c r="G82" i="240"/>
  <c r="D82" i="240"/>
  <c r="C82" i="240"/>
  <c r="U81" i="240"/>
  <c r="T81" i="240"/>
  <c r="H81" i="240"/>
  <c r="G81" i="240"/>
  <c r="D81" i="240"/>
  <c r="C81" i="240"/>
  <c r="U80" i="240"/>
  <c r="T80" i="240"/>
  <c r="H80" i="240"/>
  <c r="G80" i="240"/>
  <c r="D80" i="240"/>
  <c r="C80" i="240"/>
  <c r="U79" i="240"/>
  <c r="T79" i="240"/>
  <c r="H79" i="240"/>
  <c r="G79" i="240"/>
  <c r="D79" i="240"/>
  <c r="C79" i="240"/>
  <c r="U78" i="240"/>
  <c r="T78" i="240"/>
  <c r="H78" i="240"/>
  <c r="G78" i="240"/>
  <c r="D78" i="240"/>
  <c r="C78" i="240"/>
  <c r="U77" i="240"/>
  <c r="T77" i="240"/>
  <c r="H77" i="240"/>
  <c r="G77" i="240"/>
  <c r="D77" i="240"/>
  <c r="C77" i="240"/>
  <c r="U76" i="240"/>
  <c r="T76" i="240"/>
  <c r="H76" i="240"/>
  <c r="G76" i="240"/>
  <c r="D76" i="240"/>
  <c r="C76" i="240"/>
  <c r="U75" i="240"/>
  <c r="T75" i="240"/>
  <c r="H75" i="240"/>
  <c r="G75" i="240"/>
  <c r="D75" i="240"/>
  <c r="C75" i="240"/>
  <c r="U74" i="240"/>
  <c r="T74" i="240"/>
  <c r="H74" i="240"/>
  <c r="G74" i="240"/>
  <c r="D74" i="240"/>
  <c r="C74" i="240"/>
  <c r="U73" i="240"/>
  <c r="T73" i="240"/>
  <c r="H73" i="240"/>
  <c r="G73" i="240"/>
  <c r="D73" i="240"/>
  <c r="C73" i="240"/>
  <c r="U72" i="240"/>
  <c r="T72" i="240"/>
  <c r="H72" i="240"/>
  <c r="G72" i="240"/>
  <c r="D72" i="240"/>
  <c r="C72" i="240"/>
  <c r="U71" i="240"/>
  <c r="T71" i="240"/>
  <c r="H71" i="240"/>
  <c r="G71" i="240"/>
  <c r="D71" i="240"/>
  <c r="C71" i="240"/>
  <c r="U70" i="240"/>
  <c r="T70" i="240"/>
  <c r="H70" i="240"/>
  <c r="G70" i="240"/>
  <c r="D70" i="240"/>
  <c r="C70" i="240"/>
  <c r="U69" i="240"/>
  <c r="T69" i="240"/>
  <c r="H69" i="240"/>
  <c r="G69" i="240"/>
  <c r="D69" i="240"/>
  <c r="C69" i="240"/>
  <c r="U68" i="240"/>
  <c r="T68" i="240"/>
  <c r="H68" i="240"/>
  <c r="G68" i="240"/>
  <c r="D68" i="240"/>
  <c r="C68" i="240"/>
  <c r="U67" i="240"/>
  <c r="T67" i="240"/>
  <c r="H67" i="240"/>
  <c r="G67" i="240"/>
  <c r="D67" i="240"/>
  <c r="C67" i="240"/>
  <c r="U66" i="240"/>
  <c r="T66" i="240"/>
  <c r="H66" i="240"/>
  <c r="G66" i="240"/>
  <c r="D66" i="240"/>
  <c r="C66" i="240"/>
  <c r="U65" i="240"/>
  <c r="T65" i="240"/>
  <c r="H65" i="240"/>
  <c r="G65" i="240"/>
  <c r="D65" i="240"/>
  <c r="C65" i="240"/>
  <c r="U64" i="240"/>
  <c r="T64" i="240"/>
  <c r="H64" i="240"/>
  <c r="G64" i="240"/>
  <c r="D64" i="240"/>
  <c r="C64" i="240"/>
  <c r="U63" i="240"/>
  <c r="T63" i="240"/>
  <c r="R63" i="240"/>
  <c r="AD63" i="240" s="1"/>
  <c r="H63" i="240"/>
  <c r="G63" i="240"/>
  <c r="D63" i="240"/>
  <c r="C63" i="240"/>
  <c r="U62" i="240"/>
  <c r="T62" i="240"/>
  <c r="H62" i="240"/>
  <c r="G62" i="240"/>
  <c r="D62" i="240"/>
  <c r="C62" i="240"/>
  <c r="U61" i="240"/>
  <c r="T61" i="240"/>
  <c r="R61" i="240"/>
  <c r="AD61" i="240" s="1"/>
  <c r="H61" i="240"/>
  <c r="G61" i="240"/>
  <c r="D61" i="240"/>
  <c r="C61" i="240"/>
  <c r="U60" i="240"/>
  <c r="T60" i="240"/>
  <c r="H60" i="240"/>
  <c r="G60" i="240"/>
  <c r="D60" i="240"/>
  <c r="C60" i="240"/>
  <c r="U59" i="240"/>
  <c r="T59" i="240"/>
  <c r="R59" i="240"/>
  <c r="AD59" i="240" s="1"/>
  <c r="H59" i="240"/>
  <c r="G59" i="240"/>
  <c r="D59" i="240"/>
  <c r="C59" i="240"/>
  <c r="U58" i="240"/>
  <c r="T58" i="240"/>
  <c r="H58" i="240"/>
  <c r="G58" i="240"/>
  <c r="D58" i="240"/>
  <c r="C58" i="240"/>
  <c r="U57" i="240"/>
  <c r="T57" i="240"/>
  <c r="R57" i="240"/>
  <c r="AD57" i="240" s="1"/>
  <c r="H57" i="240"/>
  <c r="G57" i="240"/>
  <c r="D57" i="240"/>
  <c r="C57" i="240"/>
  <c r="U56" i="240"/>
  <c r="T56" i="240"/>
  <c r="H56" i="240"/>
  <c r="G56" i="240"/>
  <c r="D56" i="240"/>
  <c r="C56" i="240"/>
  <c r="U55" i="240"/>
  <c r="T55" i="240"/>
  <c r="R55" i="240"/>
  <c r="AD55" i="240" s="1"/>
  <c r="H55" i="240"/>
  <c r="G55" i="240"/>
  <c r="D55" i="240"/>
  <c r="C55" i="240"/>
  <c r="U54" i="240"/>
  <c r="T54" i="240"/>
  <c r="H54" i="240"/>
  <c r="G54" i="240"/>
  <c r="D54" i="240"/>
  <c r="C54" i="240"/>
  <c r="U53" i="240"/>
  <c r="T53" i="240"/>
  <c r="H53" i="240"/>
  <c r="G53" i="240"/>
  <c r="D53" i="240"/>
  <c r="C53" i="240"/>
  <c r="U52" i="240"/>
  <c r="T52" i="240"/>
  <c r="H52" i="240"/>
  <c r="G52" i="240"/>
  <c r="D52" i="240"/>
  <c r="C52" i="240"/>
  <c r="U51" i="240"/>
  <c r="T51" i="240"/>
  <c r="H51" i="240"/>
  <c r="G51" i="240"/>
  <c r="D51" i="240"/>
  <c r="C51" i="240"/>
  <c r="AC50" i="240"/>
  <c r="AB50" i="240"/>
  <c r="AA50" i="240"/>
  <c r="Z50" i="240"/>
  <c r="Y50" i="240"/>
  <c r="U50" i="240"/>
  <c r="T50" i="240"/>
  <c r="H50" i="240"/>
  <c r="G50" i="240"/>
  <c r="D50" i="240"/>
  <c r="C50" i="240"/>
  <c r="AC49" i="240"/>
  <c r="AB49" i="240"/>
  <c r="AA49" i="240"/>
  <c r="Z49" i="240"/>
  <c r="Y49" i="240"/>
  <c r="U49" i="240"/>
  <c r="T49" i="240"/>
  <c r="R49" i="240"/>
  <c r="H49" i="240"/>
  <c r="G49" i="240"/>
  <c r="D49" i="240"/>
  <c r="C49" i="240"/>
  <c r="U48" i="240"/>
  <c r="T48" i="240"/>
  <c r="H48" i="240"/>
  <c r="G48" i="240"/>
  <c r="D48" i="240"/>
  <c r="C48" i="240"/>
  <c r="U47" i="240"/>
  <c r="T47" i="240"/>
  <c r="R47" i="240"/>
  <c r="AD46" i="240" s="1"/>
  <c r="H47" i="240"/>
  <c r="G47" i="240"/>
  <c r="D47" i="240"/>
  <c r="C47" i="240"/>
  <c r="U46" i="240"/>
  <c r="T46" i="240"/>
  <c r="H46" i="240"/>
  <c r="G46" i="240"/>
  <c r="D46" i="240"/>
  <c r="C46" i="240"/>
  <c r="AC45" i="240"/>
  <c r="AB45" i="240"/>
  <c r="AA45" i="240"/>
  <c r="Z45" i="240"/>
  <c r="Y45" i="240"/>
  <c r="U45" i="240"/>
  <c r="T45" i="240"/>
  <c r="H45" i="240"/>
  <c r="G45" i="240"/>
  <c r="D45" i="240"/>
  <c r="C45" i="240"/>
  <c r="AC44" i="240"/>
  <c r="AB44" i="240"/>
  <c r="AA44" i="240"/>
  <c r="Z44" i="240"/>
  <c r="Y44" i="240"/>
  <c r="U44" i="240"/>
  <c r="T44" i="240"/>
  <c r="R44" i="240"/>
  <c r="H44" i="240"/>
  <c r="G44" i="240"/>
  <c r="D44" i="240"/>
  <c r="C44" i="240"/>
  <c r="U43" i="240"/>
  <c r="T43" i="240"/>
  <c r="H43" i="240"/>
  <c r="G43" i="240"/>
  <c r="D43" i="240"/>
  <c r="C43" i="240"/>
  <c r="U42" i="240"/>
  <c r="T42" i="240"/>
  <c r="S42" i="240"/>
  <c r="R42" i="240"/>
  <c r="H42" i="240"/>
  <c r="G42" i="240"/>
  <c r="D42" i="240"/>
  <c r="C42" i="240"/>
  <c r="AD41" i="240"/>
  <c r="U41" i="240"/>
  <c r="T41" i="240"/>
  <c r="H41" i="240"/>
  <c r="G41" i="240"/>
  <c r="D41" i="240"/>
  <c r="C41" i="240"/>
  <c r="AC40" i="240"/>
  <c r="AB40" i="240"/>
  <c r="AA40" i="240"/>
  <c r="Z40" i="240"/>
  <c r="Y40" i="240"/>
  <c r="U40" i="240"/>
  <c r="T40" i="240"/>
  <c r="H40" i="240"/>
  <c r="G40" i="240"/>
  <c r="D40" i="240"/>
  <c r="C40" i="240"/>
  <c r="AC39" i="240"/>
  <c r="AB39" i="240"/>
  <c r="AA39" i="240"/>
  <c r="Z39" i="240"/>
  <c r="Y39" i="240"/>
  <c r="U39" i="240"/>
  <c r="T39" i="240"/>
  <c r="R39" i="240"/>
  <c r="H39" i="240"/>
  <c r="G39" i="240"/>
  <c r="D39" i="240"/>
  <c r="C39" i="240"/>
  <c r="U38" i="240"/>
  <c r="T38" i="240"/>
  <c r="H38" i="240"/>
  <c r="G38" i="240"/>
  <c r="D38" i="240"/>
  <c r="C38" i="240"/>
  <c r="U37" i="240"/>
  <c r="T37" i="240"/>
  <c r="S37" i="240"/>
  <c r="R37" i="240"/>
  <c r="AD36" i="240" s="1"/>
  <c r="H37" i="240"/>
  <c r="G37" i="240"/>
  <c r="D37" i="240"/>
  <c r="C37" i="240"/>
  <c r="U36" i="240"/>
  <c r="T36" i="240"/>
  <c r="H36" i="240"/>
  <c r="G36" i="240"/>
  <c r="D36" i="240"/>
  <c r="C36" i="240"/>
  <c r="AC35" i="240"/>
  <c r="AB35" i="240"/>
  <c r="AA35" i="240"/>
  <c r="Z35" i="240"/>
  <c r="Y35" i="240"/>
  <c r="U35" i="240"/>
  <c r="T35" i="240"/>
  <c r="H35" i="240"/>
  <c r="G35" i="240"/>
  <c r="D35" i="240"/>
  <c r="C35" i="240"/>
  <c r="AC34" i="240"/>
  <c r="AB34" i="240"/>
  <c r="AA34" i="240"/>
  <c r="Z34" i="240"/>
  <c r="Y34" i="240"/>
  <c r="U34" i="240"/>
  <c r="T34" i="240"/>
  <c r="R34" i="240"/>
  <c r="H34" i="240"/>
  <c r="G34" i="240"/>
  <c r="D34" i="240"/>
  <c r="C34" i="240"/>
  <c r="U33" i="240"/>
  <c r="T33" i="240"/>
  <c r="H33" i="240"/>
  <c r="G33" i="240"/>
  <c r="D33" i="240"/>
  <c r="C33" i="240"/>
  <c r="U32" i="240"/>
  <c r="T32" i="240"/>
  <c r="S32" i="240"/>
  <c r="R32" i="240"/>
  <c r="H32" i="240"/>
  <c r="G32" i="240"/>
  <c r="D32" i="240"/>
  <c r="C32" i="240"/>
  <c r="AD31" i="240"/>
  <c r="U31" i="240"/>
  <c r="T31" i="240"/>
  <c r="H31" i="240"/>
  <c r="G31" i="240"/>
  <c r="D31" i="240"/>
  <c r="C31" i="240"/>
  <c r="AC30" i="240"/>
  <c r="AB30" i="240"/>
  <c r="AA30" i="240"/>
  <c r="Z30" i="240"/>
  <c r="Y30" i="240"/>
  <c r="U30" i="240"/>
  <c r="T30" i="240"/>
  <c r="H30" i="240"/>
  <c r="G30" i="240"/>
  <c r="D30" i="240"/>
  <c r="C30" i="240"/>
  <c r="AC29" i="240"/>
  <c r="AB29" i="240"/>
  <c r="AA29" i="240"/>
  <c r="Z29" i="240"/>
  <c r="Y29" i="240"/>
  <c r="U29" i="240"/>
  <c r="T29" i="240"/>
  <c r="R29" i="240"/>
  <c r="H29" i="240"/>
  <c r="G29" i="240"/>
  <c r="D29" i="240"/>
  <c r="C29" i="240"/>
  <c r="U28" i="240"/>
  <c r="T28" i="240"/>
  <c r="H28" i="240"/>
  <c r="G28" i="240"/>
  <c r="D28" i="240"/>
  <c r="C28" i="240"/>
  <c r="U27" i="240"/>
  <c r="T27" i="240"/>
  <c r="R27" i="240"/>
  <c r="S27" i="240" s="1"/>
  <c r="H27" i="240"/>
  <c r="G27" i="240"/>
  <c r="D27" i="240"/>
  <c r="C27" i="240"/>
  <c r="U26" i="240"/>
  <c r="T26" i="240"/>
  <c r="H26" i="240"/>
  <c r="G26" i="240"/>
  <c r="D26" i="240"/>
  <c r="C26" i="240"/>
  <c r="U25" i="240"/>
  <c r="T25" i="240"/>
  <c r="H25" i="240"/>
  <c r="G25" i="240"/>
  <c r="D25" i="240"/>
  <c r="C25" i="240"/>
  <c r="U24" i="240"/>
  <c r="T24" i="240"/>
  <c r="H24" i="240"/>
  <c r="G24" i="240"/>
  <c r="D24" i="240"/>
  <c r="C24" i="240"/>
  <c r="U23" i="240"/>
  <c r="T23" i="240"/>
  <c r="H23" i="240"/>
  <c r="G23" i="240"/>
  <c r="D23" i="240"/>
  <c r="C23" i="240"/>
  <c r="U22" i="240"/>
  <c r="T22" i="240"/>
  <c r="R22" i="240"/>
  <c r="AD22" i="240" s="1"/>
  <c r="H22" i="240"/>
  <c r="G22" i="240"/>
  <c r="D22" i="240"/>
  <c r="C22" i="240"/>
  <c r="U21" i="240"/>
  <c r="T21" i="240"/>
  <c r="R21" i="240"/>
  <c r="AD21" i="240" s="1"/>
  <c r="H21" i="240"/>
  <c r="G21" i="240"/>
  <c r="D21" i="240"/>
  <c r="C21" i="240"/>
  <c r="U20" i="240"/>
  <c r="T20" i="240"/>
  <c r="R20" i="240"/>
  <c r="AD20" i="240" s="1"/>
  <c r="H20" i="240"/>
  <c r="G20" i="240"/>
  <c r="D20" i="240"/>
  <c r="C20" i="240"/>
  <c r="U19" i="240"/>
  <c r="T19" i="240"/>
  <c r="R19" i="240"/>
  <c r="AD19" i="240" s="1"/>
  <c r="H19" i="240"/>
  <c r="G19" i="240"/>
  <c r="D19" i="240"/>
  <c r="C19" i="240"/>
  <c r="U18" i="240"/>
  <c r="T18" i="240"/>
  <c r="R18" i="240"/>
  <c r="AD18" i="240" s="1"/>
  <c r="H18" i="240"/>
  <c r="G18" i="240"/>
  <c r="D18" i="240"/>
  <c r="C18" i="240"/>
  <c r="U17" i="240"/>
  <c r="T17" i="240"/>
  <c r="R17" i="240"/>
  <c r="AD17" i="240" s="1"/>
  <c r="H17" i="240"/>
  <c r="G17" i="240"/>
  <c r="D17" i="240"/>
  <c r="C17" i="240"/>
  <c r="U16" i="240"/>
  <c r="T16" i="240"/>
  <c r="R16" i="240"/>
  <c r="AD16" i="240" s="1"/>
  <c r="H16" i="240"/>
  <c r="G16" i="240"/>
  <c r="D16" i="240"/>
  <c r="C16" i="240"/>
  <c r="U15" i="240"/>
  <c r="T15" i="240"/>
  <c r="R15" i="240"/>
  <c r="AD15" i="240" s="1"/>
  <c r="H15" i="240"/>
  <c r="G15" i="240"/>
  <c r="D15" i="240"/>
  <c r="C15" i="240"/>
  <c r="U14" i="240"/>
  <c r="T14" i="240"/>
  <c r="R14" i="240"/>
  <c r="AD14" i="240" s="1"/>
  <c r="H14" i="240"/>
  <c r="G14" i="240"/>
  <c r="D14" i="240"/>
  <c r="C14" i="240"/>
  <c r="U13" i="240"/>
  <c r="T13" i="240"/>
  <c r="R13" i="240"/>
  <c r="AD13" i="240" s="1"/>
  <c r="H13" i="240"/>
  <c r="G13" i="240"/>
  <c r="D13" i="240"/>
  <c r="C13" i="240"/>
  <c r="U12" i="240"/>
  <c r="T12" i="240"/>
  <c r="H12" i="240"/>
  <c r="G12" i="240"/>
  <c r="D12" i="240"/>
  <c r="C12" i="240"/>
  <c r="U11" i="240"/>
  <c r="T11" i="240"/>
  <c r="H11" i="240"/>
  <c r="G11" i="240"/>
  <c r="D11" i="240"/>
  <c r="C11" i="240"/>
  <c r="U10" i="240"/>
  <c r="T10" i="240"/>
  <c r="H10" i="240"/>
  <c r="G10" i="240"/>
  <c r="D10" i="240"/>
  <c r="C10" i="240"/>
  <c r="U9" i="240"/>
  <c r="T9" i="240"/>
  <c r="H9" i="240"/>
  <c r="G9" i="240"/>
  <c r="D9" i="240"/>
  <c r="C9" i="240"/>
  <c r="AC8" i="240"/>
  <c r="AB8" i="240"/>
  <c r="AA8" i="240"/>
  <c r="Z8" i="240"/>
  <c r="Y8" i="240"/>
  <c r="AG9" i="240" s="1"/>
  <c r="AQ9" i="240" s="1"/>
  <c r="U8" i="240"/>
  <c r="T8" i="240"/>
  <c r="R8" i="240"/>
  <c r="H8" i="240"/>
  <c r="G8" i="240"/>
  <c r="D8" i="240"/>
  <c r="C8" i="240"/>
  <c r="AG7" i="240"/>
  <c r="U7" i="240"/>
  <c r="T7" i="240"/>
  <c r="H7" i="240"/>
  <c r="G7" i="240"/>
  <c r="D7" i="240"/>
  <c r="C7" i="240"/>
  <c r="AQ6" i="240"/>
  <c r="U6" i="240"/>
  <c r="T6" i="240"/>
  <c r="H6" i="240"/>
  <c r="G6" i="240"/>
  <c r="D6" i="240"/>
  <c r="C6" i="240"/>
  <c r="AK5" i="240"/>
  <c r="AJ5" i="240"/>
  <c r="AC7" i="240" s="1"/>
  <c r="AI5" i="240"/>
  <c r="Y61" i="240" s="1"/>
  <c r="AG3" i="240"/>
  <c r="C2" i="240" a="1"/>
  <c r="C2" i="240" s="1"/>
  <c r="B2" i="240" a="1"/>
  <c r="B2" i="240" s="1"/>
  <c r="C1" i="240"/>
  <c r="B1" i="240"/>
  <c r="U105" i="239"/>
  <c r="T105" i="239"/>
  <c r="H105" i="239"/>
  <c r="G105" i="239"/>
  <c r="D105" i="239"/>
  <c r="C105" i="239"/>
  <c r="U104" i="239"/>
  <c r="T104" i="239"/>
  <c r="H104" i="239"/>
  <c r="G104" i="239"/>
  <c r="D104" i="239"/>
  <c r="C104" i="239"/>
  <c r="U103" i="239"/>
  <c r="T103" i="239"/>
  <c r="H103" i="239"/>
  <c r="G103" i="239"/>
  <c r="D103" i="239"/>
  <c r="C103" i="239"/>
  <c r="U102" i="239"/>
  <c r="T102" i="239"/>
  <c r="H102" i="239"/>
  <c r="G102" i="239"/>
  <c r="D102" i="239"/>
  <c r="C102" i="239"/>
  <c r="U101" i="239"/>
  <c r="T101" i="239"/>
  <c r="H101" i="239"/>
  <c r="G101" i="239"/>
  <c r="D101" i="239"/>
  <c r="C101" i="239"/>
  <c r="U100" i="239"/>
  <c r="T100" i="239"/>
  <c r="H100" i="239"/>
  <c r="G100" i="239"/>
  <c r="D100" i="239"/>
  <c r="C100" i="239"/>
  <c r="U99" i="239"/>
  <c r="T99" i="239"/>
  <c r="H99" i="239"/>
  <c r="G99" i="239"/>
  <c r="D99" i="239"/>
  <c r="C99" i="239"/>
  <c r="U98" i="239"/>
  <c r="T98" i="239"/>
  <c r="H98" i="239"/>
  <c r="G98" i="239"/>
  <c r="D98" i="239"/>
  <c r="C98" i="239"/>
  <c r="U97" i="239"/>
  <c r="T97" i="239"/>
  <c r="H97" i="239"/>
  <c r="G97" i="239"/>
  <c r="D97" i="239"/>
  <c r="C97" i="239"/>
  <c r="U96" i="239"/>
  <c r="T96" i="239"/>
  <c r="H96" i="239"/>
  <c r="G96" i="239"/>
  <c r="D96" i="239"/>
  <c r="C96" i="239"/>
  <c r="U95" i="239"/>
  <c r="T95" i="239"/>
  <c r="H95" i="239"/>
  <c r="G95" i="239"/>
  <c r="D95" i="239"/>
  <c r="C95" i="239"/>
  <c r="U94" i="239"/>
  <c r="T94" i="239"/>
  <c r="H94" i="239"/>
  <c r="G94" i="239"/>
  <c r="D94" i="239"/>
  <c r="C94" i="239"/>
  <c r="U93" i="239"/>
  <c r="T93" i="239"/>
  <c r="H93" i="239"/>
  <c r="G93" i="239"/>
  <c r="D93" i="239"/>
  <c r="C93" i="239"/>
  <c r="U92" i="239"/>
  <c r="T92" i="239"/>
  <c r="H92" i="239"/>
  <c r="G92" i="239"/>
  <c r="D92" i="239"/>
  <c r="C92" i="239"/>
  <c r="U91" i="239"/>
  <c r="T91" i="239"/>
  <c r="H91" i="239"/>
  <c r="G91" i="239"/>
  <c r="D91" i="239"/>
  <c r="C91" i="239"/>
  <c r="U90" i="239"/>
  <c r="T90" i="239"/>
  <c r="H90" i="239"/>
  <c r="G90" i="239"/>
  <c r="D90" i="239"/>
  <c r="C90" i="239"/>
  <c r="U89" i="239"/>
  <c r="T89" i="239"/>
  <c r="H89" i="239"/>
  <c r="G89" i="239"/>
  <c r="D89" i="239"/>
  <c r="C89" i="239"/>
  <c r="U88" i="239"/>
  <c r="T88" i="239"/>
  <c r="H88" i="239"/>
  <c r="G88" i="239"/>
  <c r="D88" i="239"/>
  <c r="C88" i="239"/>
  <c r="U87" i="239"/>
  <c r="T87" i="239"/>
  <c r="H87" i="239"/>
  <c r="G87" i="239"/>
  <c r="D87" i="239"/>
  <c r="C87" i="239"/>
  <c r="U86" i="239"/>
  <c r="T86" i="239"/>
  <c r="H86" i="239"/>
  <c r="G86" i="239"/>
  <c r="D86" i="239"/>
  <c r="C86" i="239"/>
  <c r="U85" i="239"/>
  <c r="T85" i="239"/>
  <c r="H85" i="239"/>
  <c r="G85" i="239"/>
  <c r="D85" i="239"/>
  <c r="C85" i="239"/>
  <c r="U84" i="239"/>
  <c r="T84" i="239"/>
  <c r="H84" i="239"/>
  <c r="G84" i="239"/>
  <c r="D84" i="239"/>
  <c r="C84" i="239"/>
  <c r="U83" i="239"/>
  <c r="T83" i="239"/>
  <c r="H83" i="239"/>
  <c r="G83" i="239"/>
  <c r="D83" i="239"/>
  <c r="C83" i="239"/>
  <c r="U82" i="239"/>
  <c r="T82" i="239"/>
  <c r="H82" i="239"/>
  <c r="G82" i="239"/>
  <c r="D82" i="239"/>
  <c r="C82" i="239"/>
  <c r="U81" i="239"/>
  <c r="T81" i="239"/>
  <c r="H81" i="239"/>
  <c r="G81" i="239"/>
  <c r="D81" i="239"/>
  <c r="C81" i="239"/>
  <c r="U80" i="239"/>
  <c r="T80" i="239"/>
  <c r="H80" i="239"/>
  <c r="G80" i="239"/>
  <c r="D80" i="239"/>
  <c r="C80" i="239"/>
  <c r="U79" i="239"/>
  <c r="T79" i="239"/>
  <c r="H79" i="239"/>
  <c r="G79" i="239"/>
  <c r="D79" i="239"/>
  <c r="C79" i="239"/>
  <c r="U78" i="239"/>
  <c r="T78" i="239"/>
  <c r="H78" i="239"/>
  <c r="G78" i="239"/>
  <c r="D78" i="239"/>
  <c r="C78" i="239"/>
  <c r="U77" i="239"/>
  <c r="T77" i="239"/>
  <c r="H77" i="239"/>
  <c r="G77" i="239"/>
  <c r="D77" i="239"/>
  <c r="C77" i="239"/>
  <c r="U76" i="239"/>
  <c r="T76" i="239"/>
  <c r="H76" i="239"/>
  <c r="G76" i="239"/>
  <c r="D76" i="239"/>
  <c r="C76" i="239"/>
  <c r="U75" i="239"/>
  <c r="T75" i="239"/>
  <c r="H75" i="239"/>
  <c r="G75" i="239"/>
  <c r="D75" i="239"/>
  <c r="C75" i="239"/>
  <c r="U74" i="239"/>
  <c r="T74" i="239"/>
  <c r="H74" i="239"/>
  <c r="G74" i="239"/>
  <c r="D74" i="239"/>
  <c r="C74" i="239"/>
  <c r="U73" i="239"/>
  <c r="T73" i="239"/>
  <c r="H73" i="239"/>
  <c r="G73" i="239"/>
  <c r="D73" i="239"/>
  <c r="C73" i="239"/>
  <c r="U72" i="239"/>
  <c r="T72" i="239"/>
  <c r="H72" i="239"/>
  <c r="G72" i="239"/>
  <c r="D72" i="239"/>
  <c r="C72" i="239"/>
  <c r="U71" i="239"/>
  <c r="T71" i="239"/>
  <c r="H71" i="239"/>
  <c r="G71" i="239"/>
  <c r="D71" i="239"/>
  <c r="C71" i="239"/>
  <c r="U70" i="239"/>
  <c r="T70" i="239"/>
  <c r="H70" i="239"/>
  <c r="G70" i="239"/>
  <c r="D70" i="239"/>
  <c r="C70" i="239"/>
  <c r="U69" i="239"/>
  <c r="T69" i="239"/>
  <c r="H69" i="239"/>
  <c r="G69" i="239"/>
  <c r="D69" i="239"/>
  <c r="C69" i="239"/>
  <c r="U68" i="239"/>
  <c r="T68" i="239"/>
  <c r="H68" i="239"/>
  <c r="G68" i="239"/>
  <c r="D68" i="239"/>
  <c r="C68" i="239"/>
  <c r="U67" i="239"/>
  <c r="T67" i="239"/>
  <c r="H67" i="239"/>
  <c r="G67" i="239"/>
  <c r="D67" i="239"/>
  <c r="C67" i="239"/>
  <c r="U66" i="239"/>
  <c r="T66" i="239"/>
  <c r="H66" i="239"/>
  <c r="G66" i="239"/>
  <c r="D66" i="239"/>
  <c r="C66" i="239"/>
  <c r="U65" i="239"/>
  <c r="T65" i="239"/>
  <c r="H65" i="239"/>
  <c r="G65" i="239"/>
  <c r="D65" i="239"/>
  <c r="C65" i="239"/>
  <c r="U64" i="239"/>
  <c r="T64" i="239"/>
  <c r="H64" i="239"/>
  <c r="G64" i="239"/>
  <c r="D64" i="239"/>
  <c r="C64" i="239"/>
  <c r="U63" i="239"/>
  <c r="T63" i="239"/>
  <c r="R63" i="239"/>
  <c r="AD63" i="239" s="1"/>
  <c r="H63" i="239"/>
  <c r="G63" i="239"/>
  <c r="D63" i="239"/>
  <c r="C63" i="239"/>
  <c r="U62" i="239"/>
  <c r="T62" i="239"/>
  <c r="H62" i="239"/>
  <c r="G62" i="239"/>
  <c r="D62" i="239"/>
  <c r="C62" i="239"/>
  <c r="U61" i="239"/>
  <c r="T61" i="239"/>
  <c r="R61" i="239"/>
  <c r="AD61" i="239" s="1"/>
  <c r="H61" i="239"/>
  <c r="G61" i="239"/>
  <c r="D61" i="239"/>
  <c r="C61" i="239"/>
  <c r="U60" i="239"/>
  <c r="T60" i="239"/>
  <c r="H60" i="239"/>
  <c r="G60" i="239"/>
  <c r="D60" i="239"/>
  <c r="C60" i="239"/>
  <c r="U59" i="239"/>
  <c r="T59" i="239"/>
  <c r="R59" i="239"/>
  <c r="AD59" i="239" s="1"/>
  <c r="H59" i="239"/>
  <c r="G59" i="239"/>
  <c r="D59" i="239"/>
  <c r="C59" i="239"/>
  <c r="U58" i="239"/>
  <c r="T58" i="239"/>
  <c r="H58" i="239"/>
  <c r="G58" i="239"/>
  <c r="D58" i="239"/>
  <c r="C58" i="239"/>
  <c r="U57" i="239"/>
  <c r="T57" i="239"/>
  <c r="R57" i="239"/>
  <c r="AD57" i="239" s="1"/>
  <c r="H57" i="239"/>
  <c r="G57" i="239"/>
  <c r="D57" i="239"/>
  <c r="C57" i="239"/>
  <c r="U56" i="239"/>
  <c r="T56" i="239"/>
  <c r="H56" i="239"/>
  <c r="G56" i="239"/>
  <c r="D56" i="239"/>
  <c r="C56" i="239"/>
  <c r="U55" i="239"/>
  <c r="T55" i="239"/>
  <c r="R55" i="239"/>
  <c r="AD55" i="239" s="1"/>
  <c r="H55" i="239"/>
  <c r="G55" i="239"/>
  <c r="D55" i="239"/>
  <c r="C55" i="239"/>
  <c r="U54" i="239"/>
  <c r="T54" i="239"/>
  <c r="H54" i="239"/>
  <c r="G54" i="239"/>
  <c r="D54" i="239"/>
  <c r="C54" i="239"/>
  <c r="U53" i="239"/>
  <c r="T53" i="239"/>
  <c r="H53" i="239"/>
  <c r="G53" i="239"/>
  <c r="D53" i="239"/>
  <c r="C53" i="239"/>
  <c r="U52" i="239"/>
  <c r="T52" i="239"/>
  <c r="H52" i="239"/>
  <c r="G52" i="239"/>
  <c r="D52" i="239"/>
  <c r="C52" i="239"/>
  <c r="U51" i="239"/>
  <c r="T51" i="239"/>
  <c r="H51" i="239"/>
  <c r="G51" i="239"/>
  <c r="D51" i="239"/>
  <c r="C51" i="239"/>
  <c r="AC50" i="239"/>
  <c r="AB50" i="239"/>
  <c r="AA50" i="239"/>
  <c r="Z50" i="239"/>
  <c r="Y50" i="239"/>
  <c r="U50" i="239"/>
  <c r="T50" i="239"/>
  <c r="H50" i="239"/>
  <c r="G50" i="239"/>
  <c r="D50" i="239"/>
  <c r="C50" i="239"/>
  <c r="AC49" i="239"/>
  <c r="AB49" i="239"/>
  <c r="AA49" i="239"/>
  <c r="Z49" i="239"/>
  <c r="Y49" i="239"/>
  <c r="U49" i="239"/>
  <c r="T49" i="239"/>
  <c r="R49" i="239"/>
  <c r="H49" i="239"/>
  <c r="G49" i="239"/>
  <c r="D49" i="239"/>
  <c r="C49" i="239"/>
  <c r="U48" i="239"/>
  <c r="T48" i="239"/>
  <c r="H48" i="239"/>
  <c r="G48" i="239"/>
  <c r="D48" i="239"/>
  <c r="C48" i="239"/>
  <c r="U47" i="239"/>
  <c r="T47" i="239"/>
  <c r="R47" i="239"/>
  <c r="AD46" i="239" s="1"/>
  <c r="H47" i="239"/>
  <c r="G47" i="239"/>
  <c r="D47" i="239"/>
  <c r="C47" i="239"/>
  <c r="U46" i="239"/>
  <c r="T46" i="239"/>
  <c r="H46" i="239"/>
  <c r="G46" i="239"/>
  <c r="D46" i="239"/>
  <c r="C46" i="239"/>
  <c r="AC45" i="239"/>
  <c r="AB45" i="239"/>
  <c r="AA45" i="239"/>
  <c r="Z45" i="239"/>
  <c r="Y45" i="239"/>
  <c r="U45" i="239"/>
  <c r="T45" i="239"/>
  <c r="H45" i="239"/>
  <c r="G45" i="239"/>
  <c r="D45" i="239"/>
  <c r="C45" i="239"/>
  <c r="AC44" i="239"/>
  <c r="AB44" i="239"/>
  <c r="AA44" i="239"/>
  <c r="Z44" i="239"/>
  <c r="Y44" i="239"/>
  <c r="U44" i="239"/>
  <c r="T44" i="239"/>
  <c r="R44" i="239"/>
  <c r="H44" i="239"/>
  <c r="G44" i="239"/>
  <c r="D44" i="239"/>
  <c r="C44" i="239"/>
  <c r="U43" i="239"/>
  <c r="T43" i="239"/>
  <c r="H43" i="239"/>
  <c r="G43" i="239"/>
  <c r="D43" i="239"/>
  <c r="C43" i="239"/>
  <c r="U42" i="239"/>
  <c r="T42" i="239"/>
  <c r="S42" i="239"/>
  <c r="R42" i="239"/>
  <c r="AD41" i="239" s="1"/>
  <c r="H42" i="239"/>
  <c r="G42" i="239"/>
  <c r="D42" i="239"/>
  <c r="C42" i="239"/>
  <c r="U41" i="239"/>
  <c r="T41" i="239"/>
  <c r="H41" i="239"/>
  <c r="G41" i="239"/>
  <c r="D41" i="239"/>
  <c r="C41" i="239"/>
  <c r="AC40" i="239"/>
  <c r="AB40" i="239"/>
  <c r="AA40" i="239"/>
  <c r="Z40" i="239"/>
  <c r="Y40" i="239"/>
  <c r="U40" i="239"/>
  <c r="T40" i="239"/>
  <c r="H40" i="239"/>
  <c r="G40" i="239"/>
  <c r="D40" i="239"/>
  <c r="C40" i="239"/>
  <c r="AC39" i="239"/>
  <c r="AB39" i="239"/>
  <c r="AA39" i="239"/>
  <c r="Z39" i="239"/>
  <c r="Y39" i="239"/>
  <c r="U39" i="239"/>
  <c r="T39" i="239"/>
  <c r="R39" i="239"/>
  <c r="H39" i="239"/>
  <c r="G39" i="239"/>
  <c r="D39" i="239"/>
  <c r="C39" i="239"/>
  <c r="U38" i="239"/>
  <c r="T38" i="239"/>
  <c r="H38" i="239"/>
  <c r="G38" i="239"/>
  <c r="D38" i="239"/>
  <c r="C38" i="239"/>
  <c r="U37" i="239"/>
  <c r="T37" i="239"/>
  <c r="S37" i="239"/>
  <c r="R37" i="239"/>
  <c r="H37" i="239"/>
  <c r="G37" i="239"/>
  <c r="D37" i="239"/>
  <c r="C37" i="239"/>
  <c r="AD36" i="239"/>
  <c r="U36" i="239"/>
  <c r="T36" i="239"/>
  <c r="H36" i="239"/>
  <c r="G36" i="239"/>
  <c r="D36" i="239"/>
  <c r="C36" i="239"/>
  <c r="AC35" i="239"/>
  <c r="AB35" i="239"/>
  <c r="AA35" i="239"/>
  <c r="Z35" i="239"/>
  <c r="Y35" i="239"/>
  <c r="U35" i="239"/>
  <c r="T35" i="239"/>
  <c r="H35" i="239"/>
  <c r="G35" i="239"/>
  <c r="D35" i="239"/>
  <c r="C35" i="239"/>
  <c r="AC34" i="239"/>
  <c r="AB34" i="239"/>
  <c r="AA34" i="239"/>
  <c r="Z34" i="239"/>
  <c r="Y34" i="239"/>
  <c r="U34" i="239"/>
  <c r="T34" i="239"/>
  <c r="R34" i="239"/>
  <c r="H34" i="239"/>
  <c r="G34" i="239"/>
  <c r="D34" i="239"/>
  <c r="C34" i="239"/>
  <c r="U33" i="239"/>
  <c r="T33" i="239"/>
  <c r="H33" i="239"/>
  <c r="G33" i="239"/>
  <c r="D33" i="239"/>
  <c r="C33" i="239"/>
  <c r="U32" i="239"/>
  <c r="T32" i="239"/>
  <c r="S32" i="239"/>
  <c r="R32" i="239"/>
  <c r="H32" i="239"/>
  <c r="G32" i="239"/>
  <c r="D32" i="239"/>
  <c r="C32" i="239"/>
  <c r="AD31" i="239"/>
  <c r="U31" i="239"/>
  <c r="T31" i="239"/>
  <c r="H31" i="239"/>
  <c r="G31" i="239"/>
  <c r="D31" i="239"/>
  <c r="C31" i="239"/>
  <c r="AC30" i="239"/>
  <c r="AB30" i="239"/>
  <c r="AA30" i="239"/>
  <c r="Z30" i="239"/>
  <c r="Y30" i="239"/>
  <c r="U30" i="239"/>
  <c r="T30" i="239"/>
  <c r="H30" i="239"/>
  <c r="G30" i="239"/>
  <c r="D30" i="239"/>
  <c r="C30" i="239"/>
  <c r="AC29" i="239"/>
  <c r="AB29" i="239"/>
  <c r="AA29" i="239"/>
  <c r="Z29" i="239"/>
  <c r="Y29" i="239"/>
  <c r="U29" i="239"/>
  <c r="T29" i="239"/>
  <c r="R29" i="239"/>
  <c r="H29" i="239"/>
  <c r="G29" i="239"/>
  <c r="D29" i="239"/>
  <c r="C29" i="239"/>
  <c r="U28" i="239"/>
  <c r="T28" i="239"/>
  <c r="H28" i="239"/>
  <c r="G28" i="239"/>
  <c r="D28" i="239"/>
  <c r="C28" i="239"/>
  <c r="U27" i="239"/>
  <c r="T27" i="239"/>
  <c r="R27" i="239"/>
  <c r="S27" i="239" s="1"/>
  <c r="H27" i="239"/>
  <c r="G27" i="239"/>
  <c r="D27" i="239"/>
  <c r="C27" i="239"/>
  <c r="AD26" i="239"/>
  <c r="U26" i="239"/>
  <c r="T26" i="239"/>
  <c r="H26" i="239"/>
  <c r="G26" i="239"/>
  <c r="D26" i="239"/>
  <c r="C26" i="239"/>
  <c r="U25" i="239"/>
  <c r="T25" i="239"/>
  <c r="H25" i="239"/>
  <c r="G25" i="239"/>
  <c r="D25" i="239"/>
  <c r="C25" i="239"/>
  <c r="U24" i="239"/>
  <c r="T24" i="239"/>
  <c r="H24" i="239"/>
  <c r="G24" i="239"/>
  <c r="D24" i="239"/>
  <c r="C24" i="239"/>
  <c r="U23" i="239"/>
  <c r="T23" i="239"/>
  <c r="H23" i="239"/>
  <c r="G23" i="239"/>
  <c r="D23" i="239"/>
  <c r="C23" i="239"/>
  <c r="U22" i="239"/>
  <c r="T22" i="239"/>
  <c r="R22" i="239"/>
  <c r="AD22" i="239" s="1"/>
  <c r="H22" i="239"/>
  <c r="G22" i="239"/>
  <c r="D22" i="239"/>
  <c r="C22" i="239"/>
  <c r="U21" i="239"/>
  <c r="T21" i="239"/>
  <c r="R21" i="239"/>
  <c r="AD21" i="239" s="1"/>
  <c r="H21" i="239"/>
  <c r="G21" i="239"/>
  <c r="D21" i="239"/>
  <c r="C21" i="239"/>
  <c r="U20" i="239"/>
  <c r="T20" i="239"/>
  <c r="R20" i="239"/>
  <c r="AD20" i="239" s="1"/>
  <c r="H20" i="239"/>
  <c r="G20" i="239"/>
  <c r="D20" i="239"/>
  <c r="C20" i="239"/>
  <c r="U19" i="239"/>
  <c r="T19" i="239"/>
  <c r="R19" i="239"/>
  <c r="AD19" i="239" s="1"/>
  <c r="H19" i="239"/>
  <c r="G19" i="239"/>
  <c r="D19" i="239"/>
  <c r="C19" i="239"/>
  <c r="U18" i="239"/>
  <c r="T18" i="239"/>
  <c r="R18" i="239"/>
  <c r="AD18" i="239" s="1"/>
  <c r="H18" i="239"/>
  <c r="G18" i="239"/>
  <c r="D18" i="239"/>
  <c r="C18" i="239"/>
  <c r="U17" i="239"/>
  <c r="T17" i="239"/>
  <c r="R17" i="239"/>
  <c r="AD17" i="239" s="1"/>
  <c r="H17" i="239"/>
  <c r="G17" i="239"/>
  <c r="D17" i="239"/>
  <c r="C17" i="239"/>
  <c r="U16" i="239"/>
  <c r="T16" i="239"/>
  <c r="R16" i="239"/>
  <c r="AD16" i="239" s="1"/>
  <c r="H16" i="239"/>
  <c r="G16" i="239"/>
  <c r="D16" i="239"/>
  <c r="C16" i="239"/>
  <c r="U15" i="239"/>
  <c r="T15" i="239"/>
  <c r="R15" i="239"/>
  <c r="AD15" i="239" s="1"/>
  <c r="H15" i="239"/>
  <c r="G15" i="239"/>
  <c r="D15" i="239"/>
  <c r="C15" i="239"/>
  <c r="U14" i="239"/>
  <c r="T14" i="239"/>
  <c r="R14" i="239"/>
  <c r="AD14" i="239" s="1"/>
  <c r="H14" i="239"/>
  <c r="G14" i="239"/>
  <c r="D14" i="239"/>
  <c r="C14" i="239"/>
  <c r="Y13" i="239"/>
  <c r="U13" i="239"/>
  <c r="T13" i="239"/>
  <c r="R13" i="239"/>
  <c r="AD13" i="239" s="1"/>
  <c r="H13" i="239"/>
  <c r="G13" i="239"/>
  <c r="D13" i="239"/>
  <c r="C13" i="239"/>
  <c r="U12" i="239"/>
  <c r="T12" i="239"/>
  <c r="H12" i="239"/>
  <c r="G12" i="239"/>
  <c r="D12" i="239"/>
  <c r="C12" i="239"/>
  <c r="U11" i="239"/>
  <c r="T11" i="239"/>
  <c r="H11" i="239"/>
  <c r="G11" i="239"/>
  <c r="D11" i="239"/>
  <c r="C11" i="239"/>
  <c r="U10" i="239"/>
  <c r="T10" i="239"/>
  <c r="H10" i="239"/>
  <c r="G10" i="239"/>
  <c r="D10" i="239"/>
  <c r="C10" i="239"/>
  <c r="U9" i="239"/>
  <c r="T9" i="239"/>
  <c r="H9" i="239"/>
  <c r="G9" i="239"/>
  <c r="D9" i="239"/>
  <c r="C9" i="239"/>
  <c r="AC8" i="239"/>
  <c r="AB8" i="239"/>
  <c r="AA8" i="239"/>
  <c r="Z8" i="239"/>
  <c r="Y8" i="239"/>
  <c r="U8" i="239"/>
  <c r="T8" i="239"/>
  <c r="R8" i="239"/>
  <c r="H8" i="239"/>
  <c r="G8" i="239"/>
  <c r="D8" i="239"/>
  <c r="C8" i="239"/>
  <c r="AG7" i="239"/>
  <c r="U7" i="239"/>
  <c r="T7" i="239"/>
  <c r="H7" i="239"/>
  <c r="G7" i="239"/>
  <c r="D7" i="239"/>
  <c r="C7" i="239"/>
  <c r="AQ6" i="239"/>
  <c r="U6" i="239"/>
  <c r="T6" i="239"/>
  <c r="H6" i="239"/>
  <c r="G6" i="239"/>
  <c r="D6" i="239"/>
  <c r="C6" i="239"/>
  <c r="AK5" i="239"/>
  <c r="AJ5" i="239"/>
  <c r="Z7" i="239" s="1"/>
  <c r="AI5" i="239"/>
  <c r="Y61" i="239" s="1"/>
  <c r="AG3" i="239"/>
  <c r="C2" i="239" a="1"/>
  <c r="C2" i="239" s="1"/>
  <c r="B2" i="239" a="1"/>
  <c r="B2" i="239" s="1"/>
  <c r="C1" i="239"/>
  <c r="B1" i="239"/>
  <c r="U105" i="238"/>
  <c r="T105" i="238"/>
  <c r="H105" i="238"/>
  <c r="G105" i="238"/>
  <c r="D105" i="238"/>
  <c r="C105" i="238"/>
  <c r="U104" i="238"/>
  <c r="T104" i="238"/>
  <c r="H104" i="238"/>
  <c r="G104" i="238"/>
  <c r="D104" i="238"/>
  <c r="C104" i="238"/>
  <c r="U103" i="238"/>
  <c r="T103" i="238"/>
  <c r="H103" i="238"/>
  <c r="G103" i="238"/>
  <c r="D103" i="238"/>
  <c r="C103" i="238"/>
  <c r="U102" i="238"/>
  <c r="T102" i="238"/>
  <c r="H102" i="238"/>
  <c r="G102" i="238"/>
  <c r="D102" i="238"/>
  <c r="C102" i="238"/>
  <c r="U101" i="238"/>
  <c r="T101" i="238"/>
  <c r="H101" i="238"/>
  <c r="G101" i="238"/>
  <c r="D101" i="238"/>
  <c r="C101" i="238"/>
  <c r="U100" i="238"/>
  <c r="T100" i="238"/>
  <c r="H100" i="238"/>
  <c r="G100" i="238"/>
  <c r="D100" i="238"/>
  <c r="C100" i="238"/>
  <c r="U99" i="238"/>
  <c r="T99" i="238"/>
  <c r="H99" i="238"/>
  <c r="G99" i="238"/>
  <c r="D99" i="238"/>
  <c r="C99" i="238"/>
  <c r="U98" i="238"/>
  <c r="T98" i="238"/>
  <c r="H98" i="238"/>
  <c r="G98" i="238"/>
  <c r="D98" i="238"/>
  <c r="C98" i="238"/>
  <c r="U97" i="238"/>
  <c r="T97" i="238"/>
  <c r="H97" i="238"/>
  <c r="G97" i="238"/>
  <c r="D97" i="238"/>
  <c r="C97" i="238"/>
  <c r="U96" i="238"/>
  <c r="T96" i="238"/>
  <c r="H96" i="238"/>
  <c r="G96" i="238"/>
  <c r="D96" i="238"/>
  <c r="C96" i="238"/>
  <c r="U95" i="238"/>
  <c r="T95" i="238"/>
  <c r="H95" i="238"/>
  <c r="G95" i="238"/>
  <c r="D95" i="238"/>
  <c r="C95" i="238"/>
  <c r="U94" i="238"/>
  <c r="T94" i="238"/>
  <c r="H94" i="238"/>
  <c r="G94" i="238"/>
  <c r="D94" i="238"/>
  <c r="C94" i="238"/>
  <c r="U93" i="238"/>
  <c r="T93" i="238"/>
  <c r="H93" i="238"/>
  <c r="G93" i="238"/>
  <c r="D93" i="238"/>
  <c r="C93" i="238"/>
  <c r="U92" i="238"/>
  <c r="T92" i="238"/>
  <c r="H92" i="238"/>
  <c r="G92" i="238"/>
  <c r="D92" i="238"/>
  <c r="C92" i="238"/>
  <c r="U91" i="238"/>
  <c r="T91" i="238"/>
  <c r="H91" i="238"/>
  <c r="G91" i="238"/>
  <c r="D91" i="238"/>
  <c r="C91" i="238"/>
  <c r="U90" i="238"/>
  <c r="T90" i="238"/>
  <c r="H90" i="238"/>
  <c r="G90" i="238"/>
  <c r="D90" i="238"/>
  <c r="C90" i="238"/>
  <c r="U89" i="238"/>
  <c r="T89" i="238"/>
  <c r="H89" i="238"/>
  <c r="G89" i="238"/>
  <c r="D89" i="238"/>
  <c r="C89" i="238"/>
  <c r="U88" i="238"/>
  <c r="T88" i="238"/>
  <c r="H88" i="238"/>
  <c r="G88" i="238"/>
  <c r="D88" i="238"/>
  <c r="C88" i="238"/>
  <c r="U87" i="238"/>
  <c r="T87" i="238"/>
  <c r="H87" i="238"/>
  <c r="G87" i="238"/>
  <c r="D87" i="238"/>
  <c r="C87" i="238"/>
  <c r="U86" i="238"/>
  <c r="T86" i="238"/>
  <c r="H86" i="238"/>
  <c r="G86" i="238"/>
  <c r="D86" i="238"/>
  <c r="C86" i="238"/>
  <c r="U85" i="238"/>
  <c r="T85" i="238"/>
  <c r="H85" i="238"/>
  <c r="G85" i="238"/>
  <c r="D85" i="238"/>
  <c r="C85" i="238"/>
  <c r="U84" i="238"/>
  <c r="T84" i="238"/>
  <c r="H84" i="238"/>
  <c r="G84" i="238"/>
  <c r="D84" i="238"/>
  <c r="C84" i="238"/>
  <c r="U83" i="238"/>
  <c r="T83" i="238"/>
  <c r="H83" i="238"/>
  <c r="G83" i="238"/>
  <c r="D83" i="238"/>
  <c r="C83" i="238"/>
  <c r="U82" i="238"/>
  <c r="T82" i="238"/>
  <c r="H82" i="238"/>
  <c r="G82" i="238"/>
  <c r="D82" i="238"/>
  <c r="C82" i="238"/>
  <c r="U81" i="238"/>
  <c r="T81" i="238"/>
  <c r="H81" i="238"/>
  <c r="G81" i="238"/>
  <c r="D81" i="238"/>
  <c r="C81" i="238"/>
  <c r="U80" i="238"/>
  <c r="T80" i="238"/>
  <c r="H80" i="238"/>
  <c r="G80" i="238"/>
  <c r="D80" i="238"/>
  <c r="C80" i="238"/>
  <c r="U79" i="238"/>
  <c r="T79" i="238"/>
  <c r="H79" i="238"/>
  <c r="G79" i="238"/>
  <c r="D79" i="238"/>
  <c r="C79" i="238"/>
  <c r="U78" i="238"/>
  <c r="T78" i="238"/>
  <c r="H78" i="238"/>
  <c r="G78" i="238"/>
  <c r="D78" i="238"/>
  <c r="C78" i="238"/>
  <c r="U77" i="238"/>
  <c r="T77" i="238"/>
  <c r="H77" i="238"/>
  <c r="G77" i="238"/>
  <c r="D77" i="238"/>
  <c r="C77" i="238"/>
  <c r="U76" i="238"/>
  <c r="T76" i="238"/>
  <c r="H76" i="238"/>
  <c r="G76" i="238"/>
  <c r="D76" i="238"/>
  <c r="C76" i="238"/>
  <c r="U75" i="238"/>
  <c r="T75" i="238"/>
  <c r="H75" i="238"/>
  <c r="G75" i="238"/>
  <c r="D75" i="238"/>
  <c r="C75" i="238"/>
  <c r="U74" i="238"/>
  <c r="T74" i="238"/>
  <c r="H74" i="238"/>
  <c r="G74" i="238"/>
  <c r="D74" i="238"/>
  <c r="C74" i="238"/>
  <c r="U73" i="238"/>
  <c r="T73" i="238"/>
  <c r="H73" i="238"/>
  <c r="G73" i="238"/>
  <c r="D73" i="238"/>
  <c r="C73" i="238"/>
  <c r="U72" i="238"/>
  <c r="T72" i="238"/>
  <c r="H72" i="238"/>
  <c r="G72" i="238"/>
  <c r="D72" i="238"/>
  <c r="C72" i="238"/>
  <c r="U71" i="238"/>
  <c r="T71" i="238"/>
  <c r="H71" i="238"/>
  <c r="G71" i="238"/>
  <c r="D71" i="238"/>
  <c r="C71" i="238"/>
  <c r="U70" i="238"/>
  <c r="T70" i="238"/>
  <c r="H70" i="238"/>
  <c r="G70" i="238"/>
  <c r="D70" i="238"/>
  <c r="C70" i="238"/>
  <c r="U69" i="238"/>
  <c r="T69" i="238"/>
  <c r="H69" i="238"/>
  <c r="G69" i="238"/>
  <c r="D69" i="238"/>
  <c r="C69" i="238"/>
  <c r="U68" i="238"/>
  <c r="T68" i="238"/>
  <c r="H68" i="238"/>
  <c r="G68" i="238"/>
  <c r="D68" i="238"/>
  <c r="C68" i="238"/>
  <c r="U67" i="238"/>
  <c r="T67" i="238"/>
  <c r="H67" i="238"/>
  <c r="G67" i="238"/>
  <c r="D67" i="238"/>
  <c r="C67" i="238"/>
  <c r="U66" i="238"/>
  <c r="T66" i="238"/>
  <c r="H66" i="238"/>
  <c r="G66" i="238"/>
  <c r="D66" i="238"/>
  <c r="C66" i="238"/>
  <c r="U65" i="238"/>
  <c r="T65" i="238"/>
  <c r="H65" i="238"/>
  <c r="G65" i="238"/>
  <c r="D65" i="238"/>
  <c r="C65" i="238"/>
  <c r="U64" i="238"/>
  <c r="T64" i="238"/>
  <c r="H64" i="238"/>
  <c r="G64" i="238"/>
  <c r="D64" i="238"/>
  <c r="C64" i="238"/>
  <c r="U63" i="238"/>
  <c r="T63" i="238"/>
  <c r="R63" i="238"/>
  <c r="AD63" i="238" s="1"/>
  <c r="H63" i="238"/>
  <c r="G63" i="238"/>
  <c r="D63" i="238"/>
  <c r="C63" i="238"/>
  <c r="U62" i="238"/>
  <c r="T62" i="238"/>
  <c r="H62" i="238"/>
  <c r="G62" i="238"/>
  <c r="D62" i="238"/>
  <c r="C62" i="238"/>
  <c r="U61" i="238"/>
  <c r="T61" i="238"/>
  <c r="R61" i="238"/>
  <c r="AD61" i="238" s="1"/>
  <c r="H61" i="238"/>
  <c r="G61" i="238"/>
  <c r="D61" i="238"/>
  <c r="C61" i="238"/>
  <c r="U60" i="238"/>
  <c r="T60" i="238"/>
  <c r="H60" i="238"/>
  <c r="G60" i="238"/>
  <c r="D60" i="238"/>
  <c r="C60" i="238"/>
  <c r="U59" i="238"/>
  <c r="T59" i="238"/>
  <c r="R59" i="238"/>
  <c r="AD59" i="238" s="1"/>
  <c r="H59" i="238"/>
  <c r="G59" i="238"/>
  <c r="D59" i="238"/>
  <c r="C59" i="238"/>
  <c r="U58" i="238"/>
  <c r="T58" i="238"/>
  <c r="H58" i="238"/>
  <c r="G58" i="238"/>
  <c r="D58" i="238"/>
  <c r="C58" i="238"/>
  <c r="U57" i="238"/>
  <c r="T57" i="238"/>
  <c r="R57" i="238"/>
  <c r="AD57" i="238" s="1"/>
  <c r="H57" i="238"/>
  <c r="G57" i="238"/>
  <c r="D57" i="238"/>
  <c r="C57" i="238"/>
  <c r="U56" i="238"/>
  <c r="T56" i="238"/>
  <c r="H56" i="238"/>
  <c r="G56" i="238"/>
  <c r="D56" i="238"/>
  <c r="C56" i="238"/>
  <c r="U55" i="238"/>
  <c r="T55" i="238"/>
  <c r="R55" i="238"/>
  <c r="AD55" i="238" s="1"/>
  <c r="H55" i="238"/>
  <c r="G55" i="238"/>
  <c r="D55" i="238"/>
  <c r="C55" i="238"/>
  <c r="U54" i="238"/>
  <c r="T54" i="238"/>
  <c r="H54" i="238"/>
  <c r="G54" i="238"/>
  <c r="D54" i="238"/>
  <c r="C54" i="238"/>
  <c r="U53" i="238"/>
  <c r="T53" i="238"/>
  <c r="H53" i="238"/>
  <c r="G53" i="238"/>
  <c r="D53" i="238"/>
  <c r="C53" i="238"/>
  <c r="U52" i="238"/>
  <c r="T52" i="238"/>
  <c r="H52" i="238"/>
  <c r="G52" i="238"/>
  <c r="D52" i="238"/>
  <c r="C52" i="238"/>
  <c r="U51" i="238"/>
  <c r="T51" i="238"/>
  <c r="H51" i="238"/>
  <c r="G51" i="238"/>
  <c r="D51" i="238"/>
  <c r="C51" i="238"/>
  <c r="AC50" i="238"/>
  <c r="AB50" i="238"/>
  <c r="AA50" i="238"/>
  <c r="Z50" i="238"/>
  <c r="Y50" i="238"/>
  <c r="U50" i="238"/>
  <c r="T50" i="238"/>
  <c r="H50" i="238"/>
  <c r="G50" i="238"/>
  <c r="D50" i="238"/>
  <c r="C50" i="238"/>
  <c r="AC49" i="238"/>
  <c r="AB49" i="238"/>
  <c r="AA49" i="238"/>
  <c r="Z49" i="238"/>
  <c r="Y49" i="238"/>
  <c r="U49" i="238"/>
  <c r="T49" i="238"/>
  <c r="R49" i="238"/>
  <c r="H49" i="238"/>
  <c r="G49" i="238"/>
  <c r="D49" i="238"/>
  <c r="C49" i="238"/>
  <c r="U48" i="238"/>
  <c r="T48" i="238"/>
  <c r="H48" i="238"/>
  <c r="G48" i="238"/>
  <c r="D48" i="238"/>
  <c r="C48" i="238"/>
  <c r="U47" i="238"/>
  <c r="T47" i="238"/>
  <c r="S47" i="238"/>
  <c r="AD47" i="238" s="1"/>
  <c r="R47" i="238"/>
  <c r="H47" i="238"/>
  <c r="G47" i="238"/>
  <c r="D47" i="238"/>
  <c r="C47" i="238"/>
  <c r="AD46" i="238"/>
  <c r="U46" i="238"/>
  <c r="T46" i="238"/>
  <c r="H46" i="238"/>
  <c r="G46" i="238"/>
  <c r="D46" i="238"/>
  <c r="C46" i="238"/>
  <c r="AC45" i="238"/>
  <c r="AB45" i="238"/>
  <c r="AA45" i="238"/>
  <c r="Z45" i="238"/>
  <c r="Y45" i="238"/>
  <c r="U45" i="238"/>
  <c r="T45" i="238"/>
  <c r="H45" i="238"/>
  <c r="G45" i="238"/>
  <c r="D45" i="238"/>
  <c r="C45" i="238"/>
  <c r="AC44" i="238"/>
  <c r="AB44" i="238"/>
  <c r="AA44" i="238"/>
  <c r="Z44" i="238"/>
  <c r="Y44" i="238"/>
  <c r="U44" i="238"/>
  <c r="T44" i="238"/>
  <c r="R44" i="238"/>
  <c r="H44" i="238"/>
  <c r="G44" i="238"/>
  <c r="D44" i="238"/>
  <c r="C44" i="238"/>
  <c r="U43" i="238"/>
  <c r="T43" i="238"/>
  <c r="H43" i="238"/>
  <c r="G43" i="238"/>
  <c r="D43" i="238"/>
  <c r="C43" i="238"/>
  <c r="U42" i="238"/>
  <c r="T42" i="238"/>
  <c r="S42" i="238"/>
  <c r="AD42" i="238" s="1"/>
  <c r="R42" i="238"/>
  <c r="AD41" i="238" s="1"/>
  <c r="H42" i="238"/>
  <c r="G42" i="238"/>
  <c r="D42" i="238"/>
  <c r="C42" i="238"/>
  <c r="U41" i="238"/>
  <c r="T41" i="238"/>
  <c r="H41" i="238"/>
  <c r="G41" i="238"/>
  <c r="D41" i="238"/>
  <c r="C41" i="238"/>
  <c r="AC40" i="238"/>
  <c r="AB40" i="238"/>
  <c r="AA40" i="238"/>
  <c r="Z40" i="238"/>
  <c r="Y40" i="238"/>
  <c r="U40" i="238"/>
  <c r="T40" i="238"/>
  <c r="H40" i="238"/>
  <c r="G40" i="238"/>
  <c r="D40" i="238"/>
  <c r="C40" i="238"/>
  <c r="AC39" i="238"/>
  <c r="AB39" i="238"/>
  <c r="AA39" i="238"/>
  <c r="Z39" i="238"/>
  <c r="Y39" i="238"/>
  <c r="U39" i="238"/>
  <c r="T39" i="238"/>
  <c r="R39" i="238"/>
  <c r="H39" i="238"/>
  <c r="G39" i="238"/>
  <c r="D39" i="238"/>
  <c r="C39" i="238"/>
  <c r="U38" i="238"/>
  <c r="T38" i="238"/>
  <c r="H38" i="238"/>
  <c r="G38" i="238"/>
  <c r="D38" i="238"/>
  <c r="C38" i="238"/>
  <c r="U37" i="238"/>
  <c r="T37" i="238"/>
  <c r="R37" i="238"/>
  <c r="S37" i="238" s="1"/>
  <c r="AD37" i="238" s="1"/>
  <c r="H37" i="238"/>
  <c r="G37" i="238"/>
  <c r="D37" i="238"/>
  <c r="C37" i="238"/>
  <c r="AD36" i="238"/>
  <c r="U36" i="238"/>
  <c r="T36" i="238"/>
  <c r="H36" i="238"/>
  <c r="G36" i="238"/>
  <c r="D36" i="238"/>
  <c r="C36" i="238"/>
  <c r="AC35" i="238"/>
  <c r="AB35" i="238"/>
  <c r="AA35" i="238"/>
  <c r="Z35" i="238"/>
  <c r="Y35" i="238"/>
  <c r="U35" i="238"/>
  <c r="T35" i="238"/>
  <c r="H35" i="238"/>
  <c r="G35" i="238"/>
  <c r="D35" i="238"/>
  <c r="C35" i="238"/>
  <c r="AC34" i="238"/>
  <c r="AB34" i="238"/>
  <c r="AA34" i="238"/>
  <c r="Z34" i="238"/>
  <c r="Y34" i="238"/>
  <c r="U34" i="238"/>
  <c r="T34" i="238"/>
  <c r="R34" i="238"/>
  <c r="H34" i="238"/>
  <c r="G34" i="238"/>
  <c r="D34" i="238"/>
  <c r="C34" i="238"/>
  <c r="U33" i="238"/>
  <c r="T33" i="238"/>
  <c r="H33" i="238"/>
  <c r="G33" i="238"/>
  <c r="D33" i="238"/>
  <c r="C33" i="238"/>
  <c r="U32" i="238"/>
  <c r="T32" i="238"/>
  <c r="R32" i="238"/>
  <c r="S32" i="238" s="1"/>
  <c r="AD32" i="238" s="1"/>
  <c r="H32" i="238"/>
  <c r="G32" i="238"/>
  <c r="D32" i="238"/>
  <c r="C32" i="238"/>
  <c r="AD31" i="238"/>
  <c r="U31" i="238"/>
  <c r="T31" i="238"/>
  <c r="H31" i="238"/>
  <c r="G31" i="238"/>
  <c r="D31" i="238"/>
  <c r="C31" i="238"/>
  <c r="AC30" i="238"/>
  <c r="AB30" i="238"/>
  <c r="AA30" i="238"/>
  <c r="Z30" i="238"/>
  <c r="Y30" i="238"/>
  <c r="U30" i="238"/>
  <c r="T30" i="238"/>
  <c r="H30" i="238"/>
  <c r="G30" i="238"/>
  <c r="D30" i="238"/>
  <c r="C30" i="238"/>
  <c r="AC29" i="238"/>
  <c r="AB29" i="238"/>
  <c r="AA29" i="238"/>
  <c r="Z29" i="238"/>
  <c r="Y29" i="238"/>
  <c r="U29" i="238"/>
  <c r="T29" i="238"/>
  <c r="R29" i="238"/>
  <c r="H29" i="238"/>
  <c r="G29" i="238"/>
  <c r="D29" i="238"/>
  <c r="C29" i="238"/>
  <c r="U28" i="238"/>
  <c r="T28" i="238"/>
  <c r="H28" i="238"/>
  <c r="G28" i="238"/>
  <c r="D28" i="238"/>
  <c r="C28" i="238"/>
  <c r="U27" i="238"/>
  <c r="T27" i="238"/>
  <c r="R27" i="238"/>
  <c r="S27" i="238" s="1"/>
  <c r="H27" i="238"/>
  <c r="G27" i="238"/>
  <c r="D27" i="238"/>
  <c r="C27" i="238"/>
  <c r="U26" i="238"/>
  <c r="T26" i="238"/>
  <c r="H26" i="238"/>
  <c r="G26" i="238"/>
  <c r="D26" i="238"/>
  <c r="C26" i="238"/>
  <c r="U25" i="238"/>
  <c r="T25" i="238"/>
  <c r="H25" i="238"/>
  <c r="G25" i="238"/>
  <c r="D25" i="238"/>
  <c r="C25" i="238"/>
  <c r="U24" i="238"/>
  <c r="T24" i="238"/>
  <c r="H24" i="238"/>
  <c r="G24" i="238"/>
  <c r="D24" i="238"/>
  <c r="C24" i="238"/>
  <c r="U23" i="238"/>
  <c r="T23" i="238"/>
  <c r="H23" i="238"/>
  <c r="G23" i="238"/>
  <c r="D23" i="238"/>
  <c r="C23" i="238"/>
  <c r="U22" i="238"/>
  <c r="T22" i="238"/>
  <c r="R22" i="238"/>
  <c r="AD22" i="238" s="1"/>
  <c r="H22" i="238"/>
  <c r="G22" i="238"/>
  <c r="D22" i="238"/>
  <c r="C22" i="238"/>
  <c r="U21" i="238"/>
  <c r="T21" i="238"/>
  <c r="R21" i="238"/>
  <c r="AD21" i="238" s="1"/>
  <c r="H21" i="238"/>
  <c r="G21" i="238"/>
  <c r="D21" i="238"/>
  <c r="C21" i="238"/>
  <c r="U20" i="238"/>
  <c r="T20" i="238"/>
  <c r="R20" i="238"/>
  <c r="AD20" i="238" s="1"/>
  <c r="H20" i="238"/>
  <c r="G20" i="238"/>
  <c r="D20" i="238"/>
  <c r="C20" i="238"/>
  <c r="U19" i="238"/>
  <c r="T19" i="238"/>
  <c r="R19" i="238"/>
  <c r="AD19" i="238" s="1"/>
  <c r="H19" i="238"/>
  <c r="G19" i="238"/>
  <c r="D19" i="238"/>
  <c r="C19" i="238"/>
  <c r="U18" i="238"/>
  <c r="T18" i="238"/>
  <c r="R18" i="238"/>
  <c r="AD18" i="238" s="1"/>
  <c r="H18" i="238"/>
  <c r="G18" i="238"/>
  <c r="D18" i="238"/>
  <c r="C18" i="238"/>
  <c r="U17" i="238"/>
  <c r="T17" i="238"/>
  <c r="R17" i="238"/>
  <c r="AD17" i="238" s="1"/>
  <c r="H17" i="238"/>
  <c r="G17" i="238"/>
  <c r="D17" i="238"/>
  <c r="C17" i="238"/>
  <c r="U16" i="238"/>
  <c r="T16" i="238"/>
  <c r="R16" i="238"/>
  <c r="AD16" i="238" s="1"/>
  <c r="H16" i="238"/>
  <c r="G16" i="238"/>
  <c r="D16" i="238"/>
  <c r="C16" i="238"/>
  <c r="U15" i="238"/>
  <c r="T15" i="238"/>
  <c r="R15" i="238"/>
  <c r="AD15" i="238" s="1"/>
  <c r="H15" i="238"/>
  <c r="G15" i="238"/>
  <c r="D15" i="238"/>
  <c r="C15" i="238"/>
  <c r="U14" i="238"/>
  <c r="T14" i="238"/>
  <c r="R14" i="238"/>
  <c r="AD14" i="238" s="1"/>
  <c r="H14" i="238"/>
  <c r="G14" i="238"/>
  <c r="D14" i="238"/>
  <c r="C14" i="238"/>
  <c r="U13" i="238"/>
  <c r="T13" i="238"/>
  <c r="R13" i="238"/>
  <c r="AD13" i="238" s="1"/>
  <c r="H13" i="238"/>
  <c r="G13" i="238"/>
  <c r="D13" i="238"/>
  <c r="C13" i="238"/>
  <c r="U12" i="238"/>
  <c r="T12" i="238"/>
  <c r="H12" i="238"/>
  <c r="G12" i="238"/>
  <c r="D12" i="238"/>
  <c r="C12" i="238"/>
  <c r="U11" i="238"/>
  <c r="T11" i="238"/>
  <c r="H11" i="238"/>
  <c r="G11" i="238"/>
  <c r="D11" i="238"/>
  <c r="C11" i="238"/>
  <c r="U10" i="238"/>
  <c r="T10" i="238"/>
  <c r="H10" i="238"/>
  <c r="G10" i="238"/>
  <c r="D10" i="238"/>
  <c r="C10" i="238"/>
  <c r="U9" i="238"/>
  <c r="T9" i="238"/>
  <c r="H9" i="238"/>
  <c r="G9" i="238"/>
  <c r="D9" i="238"/>
  <c r="C9" i="238"/>
  <c r="AC8" i="238"/>
  <c r="AB8" i="238"/>
  <c r="AA8" i="238"/>
  <c r="Z8" i="238"/>
  <c r="Y8" i="238"/>
  <c r="U8" i="238"/>
  <c r="T8" i="238"/>
  <c r="R8" i="238"/>
  <c r="H8" i="238"/>
  <c r="G8" i="238"/>
  <c r="D8" i="238"/>
  <c r="C8" i="238"/>
  <c r="AG7" i="238"/>
  <c r="U7" i="238"/>
  <c r="T7" i="238"/>
  <c r="H7" i="238"/>
  <c r="G7" i="238"/>
  <c r="D7" i="238"/>
  <c r="C7" i="238"/>
  <c r="AQ6" i="238"/>
  <c r="U6" i="238"/>
  <c r="T6" i="238"/>
  <c r="H6" i="238"/>
  <c r="G6" i="238"/>
  <c r="D6" i="238"/>
  <c r="C6" i="238"/>
  <c r="AK5" i="238"/>
  <c r="AJ5" i="238"/>
  <c r="Z7" i="238" s="1"/>
  <c r="AI5" i="238"/>
  <c r="Y61" i="238" s="1"/>
  <c r="AG3" i="238"/>
  <c r="C2" i="238" a="1"/>
  <c r="C2" i="238" s="1"/>
  <c r="B2" i="238" a="1"/>
  <c r="B2" i="238" s="1"/>
  <c r="C1" i="238"/>
  <c r="B1" i="238"/>
  <c r="U105" i="237"/>
  <c r="T105" i="237"/>
  <c r="H105" i="237"/>
  <c r="G105" i="237"/>
  <c r="D105" i="237"/>
  <c r="C105" i="237"/>
  <c r="U104" i="237"/>
  <c r="T104" i="237"/>
  <c r="H104" i="237"/>
  <c r="G104" i="237"/>
  <c r="D104" i="237"/>
  <c r="C104" i="237"/>
  <c r="U103" i="237"/>
  <c r="T103" i="237"/>
  <c r="H103" i="237"/>
  <c r="G103" i="237"/>
  <c r="D103" i="237"/>
  <c r="C103" i="237"/>
  <c r="U102" i="237"/>
  <c r="T102" i="237"/>
  <c r="H102" i="237"/>
  <c r="G102" i="237"/>
  <c r="D102" i="237"/>
  <c r="C102" i="237"/>
  <c r="U101" i="237"/>
  <c r="T101" i="237"/>
  <c r="H101" i="237"/>
  <c r="G101" i="237"/>
  <c r="D101" i="237"/>
  <c r="C101" i="237"/>
  <c r="U100" i="237"/>
  <c r="T100" i="237"/>
  <c r="H100" i="237"/>
  <c r="G100" i="237"/>
  <c r="D100" i="237"/>
  <c r="C100" i="237"/>
  <c r="U99" i="237"/>
  <c r="T99" i="237"/>
  <c r="H99" i="237"/>
  <c r="G99" i="237"/>
  <c r="D99" i="237"/>
  <c r="C99" i="237"/>
  <c r="U98" i="237"/>
  <c r="T98" i="237"/>
  <c r="H98" i="237"/>
  <c r="G98" i="237"/>
  <c r="D98" i="237"/>
  <c r="C98" i="237"/>
  <c r="U97" i="237"/>
  <c r="T97" i="237"/>
  <c r="H97" i="237"/>
  <c r="G97" i="237"/>
  <c r="D97" i="237"/>
  <c r="C97" i="237"/>
  <c r="U96" i="237"/>
  <c r="T96" i="237"/>
  <c r="H96" i="237"/>
  <c r="G96" i="237"/>
  <c r="D96" i="237"/>
  <c r="C96" i="237"/>
  <c r="U95" i="237"/>
  <c r="T95" i="237"/>
  <c r="H95" i="237"/>
  <c r="G95" i="237"/>
  <c r="D95" i="237"/>
  <c r="C95" i="237"/>
  <c r="U94" i="237"/>
  <c r="T94" i="237"/>
  <c r="H94" i="237"/>
  <c r="G94" i="237"/>
  <c r="D94" i="237"/>
  <c r="C94" i="237"/>
  <c r="U93" i="237"/>
  <c r="T93" i="237"/>
  <c r="H93" i="237"/>
  <c r="G93" i="237"/>
  <c r="D93" i="237"/>
  <c r="C93" i="237"/>
  <c r="U92" i="237"/>
  <c r="T92" i="237"/>
  <c r="H92" i="237"/>
  <c r="G92" i="237"/>
  <c r="D92" i="237"/>
  <c r="C92" i="237"/>
  <c r="U91" i="237"/>
  <c r="T91" i="237"/>
  <c r="H91" i="237"/>
  <c r="G91" i="237"/>
  <c r="D91" i="237"/>
  <c r="C91" i="237"/>
  <c r="U90" i="237"/>
  <c r="T90" i="237"/>
  <c r="H90" i="237"/>
  <c r="G90" i="237"/>
  <c r="D90" i="237"/>
  <c r="C90" i="237"/>
  <c r="U89" i="237"/>
  <c r="T89" i="237"/>
  <c r="H89" i="237"/>
  <c r="G89" i="237"/>
  <c r="D89" i="237"/>
  <c r="C89" i="237"/>
  <c r="U88" i="237"/>
  <c r="T88" i="237"/>
  <c r="H88" i="237"/>
  <c r="G88" i="237"/>
  <c r="D88" i="237"/>
  <c r="C88" i="237"/>
  <c r="U87" i="237"/>
  <c r="T87" i="237"/>
  <c r="H87" i="237"/>
  <c r="G87" i="237"/>
  <c r="D87" i="237"/>
  <c r="C87" i="237"/>
  <c r="U86" i="237"/>
  <c r="T86" i="237"/>
  <c r="H86" i="237"/>
  <c r="G86" i="237"/>
  <c r="D86" i="237"/>
  <c r="C86" i="237"/>
  <c r="U85" i="237"/>
  <c r="T85" i="237"/>
  <c r="H85" i="237"/>
  <c r="G85" i="237"/>
  <c r="D85" i="237"/>
  <c r="C85" i="237"/>
  <c r="U84" i="237"/>
  <c r="T84" i="237"/>
  <c r="H84" i="237"/>
  <c r="G84" i="237"/>
  <c r="D84" i="237"/>
  <c r="C84" i="237"/>
  <c r="U83" i="237"/>
  <c r="T83" i="237"/>
  <c r="H83" i="237"/>
  <c r="G83" i="237"/>
  <c r="D83" i="237"/>
  <c r="C83" i="237"/>
  <c r="U82" i="237"/>
  <c r="T82" i="237"/>
  <c r="H82" i="237"/>
  <c r="G82" i="237"/>
  <c r="D82" i="237"/>
  <c r="C82" i="237"/>
  <c r="U81" i="237"/>
  <c r="T81" i="237"/>
  <c r="H81" i="237"/>
  <c r="G81" i="237"/>
  <c r="D81" i="237"/>
  <c r="C81" i="237"/>
  <c r="U80" i="237"/>
  <c r="T80" i="237"/>
  <c r="H80" i="237"/>
  <c r="G80" i="237"/>
  <c r="D80" i="237"/>
  <c r="C80" i="237"/>
  <c r="U79" i="237"/>
  <c r="T79" i="237"/>
  <c r="H79" i="237"/>
  <c r="G79" i="237"/>
  <c r="D79" i="237"/>
  <c r="C79" i="237"/>
  <c r="U78" i="237"/>
  <c r="T78" i="237"/>
  <c r="H78" i="237"/>
  <c r="G78" i="237"/>
  <c r="D78" i="237"/>
  <c r="C78" i="237"/>
  <c r="U77" i="237"/>
  <c r="T77" i="237"/>
  <c r="H77" i="237"/>
  <c r="G77" i="237"/>
  <c r="D77" i="237"/>
  <c r="C77" i="237"/>
  <c r="U76" i="237"/>
  <c r="T76" i="237"/>
  <c r="H76" i="237"/>
  <c r="G76" i="237"/>
  <c r="D76" i="237"/>
  <c r="C76" i="237"/>
  <c r="U75" i="237"/>
  <c r="T75" i="237"/>
  <c r="H75" i="237"/>
  <c r="G75" i="237"/>
  <c r="D75" i="237"/>
  <c r="C75" i="237"/>
  <c r="U74" i="237"/>
  <c r="T74" i="237"/>
  <c r="H74" i="237"/>
  <c r="G74" i="237"/>
  <c r="D74" i="237"/>
  <c r="C74" i="237"/>
  <c r="U73" i="237"/>
  <c r="T73" i="237"/>
  <c r="H73" i="237"/>
  <c r="G73" i="237"/>
  <c r="D73" i="237"/>
  <c r="C73" i="237"/>
  <c r="U72" i="237"/>
  <c r="T72" i="237"/>
  <c r="H72" i="237"/>
  <c r="G72" i="237"/>
  <c r="D72" i="237"/>
  <c r="C72" i="237"/>
  <c r="U71" i="237"/>
  <c r="T71" i="237"/>
  <c r="H71" i="237"/>
  <c r="G71" i="237"/>
  <c r="D71" i="237"/>
  <c r="C71" i="237"/>
  <c r="U70" i="237"/>
  <c r="T70" i="237"/>
  <c r="H70" i="237"/>
  <c r="G70" i="237"/>
  <c r="D70" i="237"/>
  <c r="C70" i="237"/>
  <c r="U69" i="237"/>
  <c r="T69" i="237"/>
  <c r="H69" i="237"/>
  <c r="G69" i="237"/>
  <c r="D69" i="237"/>
  <c r="C69" i="237"/>
  <c r="U68" i="237"/>
  <c r="T68" i="237"/>
  <c r="H68" i="237"/>
  <c r="G68" i="237"/>
  <c r="D68" i="237"/>
  <c r="C68" i="237"/>
  <c r="U67" i="237"/>
  <c r="T67" i="237"/>
  <c r="H67" i="237"/>
  <c r="G67" i="237"/>
  <c r="D67" i="237"/>
  <c r="C67" i="237"/>
  <c r="U66" i="237"/>
  <c r="T66" i="237"/>
  <c r="H66" i="237"/>
  <c r="G66" i="237"/>
  <c r="D66" i="237"/>
  <c r="C66" i="237"/>
  <c r="U65" i="237"/>
  <c r="T65" i="237"/>
  <c r="H65" i="237"/>
  <c r="G65" i="237"/>
  <c r="D65" i="237"/>
  <c r="C65" i="237"/>
  <c r="U64" i="237"/>
  <c r="T64" i="237"/>
  <c r="H64" i="237"/>
  <c r="G64" i="237"/>
  <c r="D64" i="237"/>
  <c r="C64" i="237"/>
  <c r="U63" i="237"/>
  <c r="T63" i="237"/>
  <c r="R63" i="237"/>
  <c r="AD63" i="237" s="1"/>
  <c r="H63" i="237"/>
  <c r="G63" i="237"/>
  <c r="D63" i="237"/>
  <c r="C63" i="237"/>
  <c r="U62" i="237"/>
  <c r="T62" i="237"/>
  <c r="H62" i="237"/>
  <c r="G62" i="237"/>
  <c r="D62" i="237"/>
  <c r="C62" i="237"/>
  <c r="U61" i="237"/>
  <c r="T61" i="237"/>
  <c r="R61" i="237"/>
  <c r="AD61" i="237" s="1"/>
  <c r="H61" i="237"/>
  <c r="G61" i="237"/>
  <c r="D61" i="237"/>
  <c r="C61" i="237"/>
  <c r="U60" i="237"/>
  <c r="T60" i="237"/>
  <c r="H60" i="237"/>
  <c r="G60" i="237"/>
  <c r="D60" i="237"/>
  <c r="C60" i="237"/>
  <c r="U59" i="237"/>
  <c r="T59" i="237"/>
  <c r="R59" i="237"/>
  <c r="AD59" i="237" s="1"/>
  <c r="H59" i="237"/>
  <c r="G59" i="237"/>
  <c r="D59" i="237"/>
  <c r="C59" i="237"/>
  <c r="U58" i="237"/>
  <c r="T58" i="237"/>
  <c r="H58" i="237"/>
  <c r="G58" i="237"/>
  <c r="D58" i="237"/>
  <c r="C58" i="237"/>
  <c r="U57" i="237"/>
  <c r="T57" i="237"/>
  <c r="R57" i="237"/>
  <c r="AD57" i="237" s="1"/>
  <c r="H57" i="237"/>
  <c r="G57" i="237"/>
  <c r="D57" i="237"/>
  <c r="C57" i="237"/>
  <c r="U56" i="237"/>
  <c r="T56" i="237"/>
  <c r="H56" i="237"/>
  <c r="G56" i="237"/>
  <c r="D56" i="237"/>
  <c r="C56" i="237"/>
  <c r="U55" i="237"/>
  <c r="T55" i="237"/>
  <c r="R55" i="237"/>
  <c r="AD55" i="237" s="1"/>
  <c r="H55" i="237"/>
  <c r="G55" i="237"/>
  <c r="D55" i="237"/>
  <c r="C55" i="237"/>
  <c r="U54" i="237"/>
  <c r="T54" i="237"/>
  <c r="H54" i="237"/>
  <c r="G54" i="237"/>
  <c r="D54" i="237"/>
  <c r="C54" i="237"/>
  <c r="U53" i="237"/>
  <c r="T53" i="237"/>
  <c r="H53" i="237"/>
  <c r="G53" i="237"/>
  <c r="D53" i="237"/>
  <c r="C53" i="237"/>
  <c r="U52" i="237"/>
  <c r="T52" i="237"/>
  <c r="H52" i="237"/>
  <c r="G52" i="237"/>
  <c r="D52" i="237"/>
  <c r="C52" i="237"/>
  <c r="U51" i="237"/>
  <c r="T51" i="237"/>
  <c r="H51" i="237"/>
  <c r="G51" i="237"/>
  <c r="D51" i="237"/>
  <c r="C51" i="237"/>
  <c r="AC50" i="237"/>
  <c r="AB50" i="237"/>
  <c r="AA50" i="237"/>
  <c r="Z50" i="237"/>
  <c r="Y50" i="237"/>
  <c r="U50" i="237"/>
  <c r="T50" i="237"/>
  <c r="H50" i="237"/>
  <c r="G50" i="237"/>
  <c r="D50" i="237"/>
  <c r="C50" i="237"/>
  <c r="AC49" i="237"/>
  <c r="AB49" i="237"/>
  <c r="AA49" i="237"/>
  <c r="Z49" i="237"/>
  <c r="Y49" i="237"/>
  <c r="U49" i="237"/>
  <c r="T49" i="237"/>
  <c r="R49" i="237"/>
  <c r="H49" i="237"/>
  <c r="G49" i="237"/>
  <c r="D49" i="237"/>
  <c r="C49" i="237"/>
  <c r="U48" i="237"/>
  <c r="T48" i="237"/>
  <c r="H48" i="237"/>
  <c r="G48" i="237"/>
  <c r="D48" i="237"/>
  <c r="C48" i="237"/>
  <c r="U47" i="237"/>
  <c r="T47" i="237"/>
  <c r="S47" i="237"/>
  <c r="R47" i="237"/>
  <c r="H47" i="237"/>
  <c r="G47" i="237"/>
  <c r="D47" i="237"/>
  <c r="C47" i="237"/>
  <c r="AD46" i="237"/>
  <c r="U46" i="237"/>
  <c r="T46" i="237"/>
  <c r="H46" i="237"/>
  <c r="G46" i="237"/>
  <c r="D46" i="237"/>
  <c r="C46" i="237"/>
  <c r="AC45" i="237"/>
  <c r="AB45" i="237"/>
  <c r="AA45" i="237"/>
  <c r="Z45" i="237"/>
  <c r="Y45" i="237"/>
  <c r="U45" i="237"/>
  <c r="T45" i="237"/>
  <c r="H45" i="237"/>
  <c r="G45" i="237"/>
  <c r="D45" i="237"/>
  <c r="C45" i="237"/>
  <c r="AC44" i="237"/>
  <c r="AB44" i="237"/>
  <c r="AA44" i="237"/>
  <c r="Z44" i="237"/>
  <c r="Y44" i="237"/>
  <c r="U44" i="237"/>
  <c r="T44" i="237"/>
  <c r="R44" i="237"/>
  <c r="H44" i="237"/>
  <c r="G44" i="237"/>
  <c r="D44" i="237"/>
  <c r="C44" i="237"/>
  <c r="U43" i="237"/>
  <c r="T43" i="237"/>
  <c r="H43" i="237"/>
  <c r="G43" i="237"/>
  <c r="D43" i="237"/>
  <c r="C43" i="237"/>
  <c r="U42" i="237"/>
  <c r="T42" i="237"/>
  <c r="S42" i="237"/>
  <c r="R42" i="237"/>
  <c r="H42" i="237"/>
  <c r="G42" i="237"/>
  <c r="D42" i="237"/>
  <c r="C42" i="237"/>
  <c r="AD41" i="237"/>
  <c r="U41" i="237"/>
  <c r="T41" i="237"/>
  <c r="H41" i="237"/>
  <c r="G41" i="237"/>
  <c r="D41" i="237"/>
  <c r="C41" i="237"/>
  <c r="AC40" i="237"/>
  <c r="AB40" i="237"/>
  <c r="AA40" i="237"/>
  <c r="Z40" i="237"/>
  <c r="Y40" i="237"/>
  <c r="U40" i="237"/>
  <c r="T40" i="237"/>
  <c r="H40" i="237"/>
  <c r="G40" i="237"/>
  <c r="D40" i="237"/>
  <c r="C40" i="237"/>
  <c r="AC39" i="237"/>
  <c r="AB39" i="237"/>
  <c r="AA39" i="237"/>
  <c r="Z39" i="237"/>
  <c r="Y39" i="237"/>
  <c r="U39" i="237"/>
  <c r="T39" i="237"/>
  <c r="R39" i="237"/>
  <c r="H39" i="237"/>
  <c r="G39" i="237"/>
  <c r="D39" i="237"/>
  <c r="C39" i="237"/>
  <c r="U38" i="237"/>
  <c r="T38" i="237"/>
  <c r="H38" i="237"/>
  <c r="G38" i="237"/>
  <c r="D38" i="237"/>
  <c r="C38" i="237"/>
  <c r="U37" i="237"/>
  <c r="T37" i="237"/>
  <c r="S37" i="237"/>
  <c r="R37" i="237"/>
  <c r="H37" i="237"/>
  <c r="G37" i="237"/>
  <c r="D37" i="237"/>
  <c r="C37" i="237"/>
  <c r="AD36" i="237"/>
  <c r="U36" i="237"/>
  <c r="T36" i="237"/>
  <c r="H36" i="237"/>
  <c r="G36" i="237"/>
  <c r="D36" i="237"/>
  <c r="C36" i="237"/>
  <c r="AC35" i="237"/>
  <c r="AB35" i="237"/>
  <c r="AA35" i="237"/>
  <c r="Z35" i="237"/>
  <c r="Y35" i="237"/>
  <c r="U35" i="237"/>
  <c r="T35" i="237"/>
  <c r="H35" i="237"/>
  <c r="G35" i="237"/>
  <c r="D35" i="237"/>
  <c r="C35" i="237"/>
  <c r="AC34" i="237"/>
  <c r="AB34" i="237"/>
  <c r="AA34" i="237"/>
  <c r="Z34" i="237"/>
  <c r="Y34" i="237"/>
  <c r="U34" i="237"/>
  <c r="T34" i="237"/>
  <c r="R34" i="237"/>
  <c r="H34" i="237"/>
  <c r="G34" i="237"/>
  <c r="D34" i="237"/>
  <c r="C34" i="237"/>
  <c r="U33" i="237"/>
  <c r="T33" i="237"/>
  <c r="H33" i="237"/>
  <c r="G33" i="237"/>
  <c r="D33" i="237"/>
  <c r="C33" i="237"/>
  <c r="U32" i="237"/>
  <c r="T32" i="237"/>
  <c r="R32" i="237"/>
  <c r="AD31" i="237" s="1"/>
  <c r="AG14" i="237" s="1"/>
  <c r="H32" i="237"/>
  <c r="G32" i="237"/>
  <c r="D32" i="237"/>
  <c r="C32" i="237"/>
  <c r="U31" i="237"/>
  <c r="T31" i="237"/>
  <c r="H31" i="237"/>
  <c r="G31" i="237"/>
  <c r="D31" i="237"/>
  <c r="C31" i="237"/>
  <c r="AC30" i="237"/>
  <c r="AB30" i="237"/>
  <c r="AA30" i="237"/>
  <c r="Z30" i="237"/>
  <c r="Y30" i="237"/>
  <c r="U30" i="237"/>
  <c r="T30" i="237"/>
  <c r="H30" i="237"/>
  <c r="G30" i="237"/>
  <c r="D30" i="237"/>
  <c r="C30" i="237"/>
  <c r="AC29" i="237"/>
  <c r="AB29" i="237"/>
  <c r="AA29" i="237"/>
  <c r="Z29" i="237"/>
  <c r="Y29" i="237"/>
  <c r="U29" i="237"/>
  <c r="T29" i="237"/>
  <c r="R29" i="237"/>
  <c r="H29" i="237"/>
  <c r="G29" i="237"/>
  <c r="D29" i="237"/>
  <c r="C29" i="237"/>
  <c r="U28" i="237"/>
  <c r="T28" i="237"/>
  <c r="H28" i="237"/>
  <c r="G28" i="237"/>
  <c r="D28" i="237"/>
  <c r="C28" i="237"/>
  <c r="U27" i="237"/>
  <c r="T27" i="237"/>
  <c r="S27" i="237"/>
  <c r="R27" i="237"/>
  <c r="H27" i="237"/>
  <c r="G27" i="237"/>
  <c r="D27" i="237"/>
  <c r="C27" i="237"/>
  <c r="AD26" i="237"/>
  <c r="U26" i="237"/>
  <c r="T26" i="237"/>
  <c r="H26" i="237"/>
  <c r="G26" i="237"/>
  <c r="D26" i="237"/>
  <c r="C26" i="237"/>
  <c r="U25" i="237"/>
  <c r="T25" i="237"/>
  <c r="H25" i="237"/>
  <c r="G25" i="237"/>
  <c r="D25" i="237"/>
  <c r="C25" i="237"/>
  <c r="U24" i="237"/>
  <c r="T24" i="237"/>
  <c r="H24" i="237"/>
  <c r="G24" i="237"/>
  <c r="D24" i="237"/>
  <c r="C24" i="237"/>
  <c r="U23" i="237"/>
  <c r="T23" i="237"/>
  <c r="H23" i="237"/>
  <c r="G23" i="237"/>
  <c r="D23" i="237"/>
  <c r="C23" i="237"/>
  <c r="U22" i="237"/>
  <c r="T22" i="237"/>
  <c r="R22" i="237"/>
  <c r="AD22" i="237" s="1"/>
  <c r="H22" i="237"/>
  <c r="G22" i="237"/>
  <c r="D22" i="237"/>
  <c r="C22" i="237"/>
  <c r="U21" i="237"/>
  <c r="T21" i="237"/>
  <c r="R21" i="237"/>
  <c r="AD21" i="237" s="1"/>
  <c r="H21" i="237"/>
  <c r="G21" i="237"/>
  <c r="D21" i="237"/>
  <c r="C21" i="237"/>
  <c r="U20" i="237"/>
  <c r="T20" i="237"/>
  <c r="R20" i="237"/>
  <c r="AD20" i="237" s="1"/>
  <c r="H20" i="237"/>
  <c r="G20" i="237"/>
  <c r="D20" i="237"/>
  <c r="C20" i="237"/>
  <c r="U19" i="237"/>
  <c r="T19" i="237"/>
  <c r="R19" i="237"/>
  <c r="AD19" i="237" s="1"/>
  <c r="H19" i="237"/>
  <c r="G19" i="237"/>
  <c r="D19" i="237"/>
  <c r="C19" i="237"/>
  <c r="U18" i="237"/>
  <c r="T18" i="237"/>
  <c r="R18" i="237"/>
  <c r="AD18" i="237" s="1"/>
  <c r="H18" i="237"/>
  <c r="G18" i="237"/>
  <c r="D18" i="237"/>
  <c r="C18" i="237"/>
  <c r="U17" i="237"/>
  <c r="T17" i="237"/>
  <c r="R17" i="237"/>
  <c r="AD17" i="237" s="1"/>
  <c r="H17" i="237"/>
  <c r="G17" i="237"/>
  <c r="D17" i="237"/>
  <c r="C17" i="237"/>
  <c r="U16" i="237"/>
  <c r="T16" i="237"/>
  <c r="R16" i="237"/>
  <c r="AD16" i="237" s="1"/>
  <c r="H16" i="237"/>
  <c r="G16" i="237"/>
  <c r="D16" i="237"/>
  <c r="C16" i="237"/>
  <c r="U15" i="237"/>
  <c r="T15" i="237"/>
  <c r="R15" i="237"/>
  <c r="AD15" i="237" s="1"/>
  <c r="H15" i="237"/>
  <c r="G15" i="237"/>
  <c r="D15" i="237"/>
  <c r="C15" i="237"/>
  <c r="U14" i="237"/>
  <c r="T14" i="237"/>
  <c r="R14" i="237"/>
  <c r="AD14" i="237" s="1"/>
  <c r="H14" i="237"/>
  <c r="G14" i="237"/>
  <c r="D14" i="237"/>
  <c r="C14" i="237"/>
  <c r="U13" i="237"/>
  <c r="T13" i="237"/>
  <c r="R13" i="237"/>
  <c r="AD13" i="237" s="1"/>
  <c r="H13" i="237"/>
  <c r="G13" i="237"/>
  <c r="D13" i="237"/>
  <c r="C13" i="237"/>
  <c r="U12" i="237"/>
  <c r="T12" i="237"/>
  <c r="H12" i="237"/>
  <c r="G12" i="237"/>
  <c r="D12" i="237"/>
  <c r="C12" i="237"/>
  <c r="U11" i="237"/>
  <c r="T11" i="237"/>
  <c r="H11" i="237"/>
  <c r="G11" i="237"/>
  <c r="D11" i="237"/>
  <c r="C11" i="237"/>
  <c r="U10" i="237"/>
  <c r="T10" i="237"/>
  <c r="H10" i="237"/>
  <c r="G10" i="237"/>
  <c r="D10" i="237"/>
  <c r="C10" i="237"/>
  <c r="U9" i="237"/>
  <c r="T9" i="237"/>
  <c r="H9" i="237"/>
  <c r="G9" i="237"/>
  <c r="D9" i="237"/>
  <c r="C9" i="237"/>
  <c r="AC8" i="237"/>
  <c r="AB8" i="237"/>
  <c r="AA8" i="237"/>
  <c r="Z8" i="237"/>
  <c r="Y8" i="237"/>
  <c r="U8" i="237"/>
  <c r="T8" i="237"/>
  <c r="R8" i="237"/>
  <c r="H8" i="237"/>
  <c r="G8" i="237"/>
  <c r="D8" i="237"/>
  <c r="C8" i="237"/>
  <c r="AG7" i="237"/>
  <c r="U7" i="237"/>
  <c r="T7" i="237"/>
  <c r="H7" i="237"/>
  <c r="G7" i="237"/>
  <c r="D7" i="237"/>
  <c r="C7" i="237"/>
  <c r="AQ6" i="237"/>
  <c r="U6" i="237"/>
  <c r="T6" i="237"/>
  <c r="H6" i="237"/>
  <c r="G6" i="237"/>
  <c r="D6" i="237"/>
  <c r="C6" i="237"/>
  <c r="AK5" i="237"/>
  <c r="AJ5" i="237"/>
  <c r="Y7" i="237" s="1"/>
  <c r="AI5" i="237"/>
  <c r="Y61" i="237" s="1"/>
  <c r="AG3" i="237"/>
  <c r="C2" i="237" a="1"/>
  <c r="C2" i="237" s="1"/>
  <c r="B2" i="237" a="1"/>
  <c r="B2" i="237" s="1"/>
  <c r="C1" i="237"/>
  <c r="B1" i="237"/>
  <c r="AP107" i="240" a="1"/>
  <c r="AL107" i="240" a="1"/>
  <c r="AM106" i="240" a="1"/>
  <c r="AM5" i="240" a="1"/>
  <c r="AO107" i="240" a="1"/>
  <c r="AP106" i="240" a="1"/>
  <c r="AL106" i="240" a="1"/>
  <c r="AP5" i="240" a="1"/>
  <c r="AL5" i="240" a="1"/>
  <c r="AN107" i="240" a="1"/>
  <c r="AO106" i="240" a="1"/>
  <c r="AO5" i="240" a="1"/>
  <c r="AM107" i="240" a="1"/>
  <c r="AN106" i="240" a="1"/>
  <c r="AN5" i="240" a="1"/>
  <c r="AP107" i="239" a="1"/>
  <c r="AL107" i="239" a="1"/>
  <c r="AM106" i="239" a="1"/>
  <c r="AM5" i="239" a="1"/>
  <c r="AO107" i="239" a="1"/>
  <c r="AP106" i="239" a="1"/>
  <c r="AL106" i="239" a="1"/>
  <c r="AP5" i="239" a="1"/>
  <c r="AL5" i="239" a="1"/>
  <c r="AN107" i="239" a="1"/>
  <c r="AO106" i="239" a="1"/>
  <c r="AO5" i="239" a="1"/>
  <c r="AM107" i="239" a="1"/>
  <c r="AN106" i="239" a="1"/>
  <c r="AN5" i="239" a="1"/>
  <c r="AP107" i="238" a="1"/>
  <c r="AL107" i="238" a="1"/>
  <c r="AM106" i="238" a="1"/>
  <c r="AM5" i="238" a="1"/>
  <c r="AO107" i="238" a="1"/>
  <c r="AP106" i="238" a="1"/>
  <c r="AL106" i="238" a="1"/>
  <c r="AP5" i="238" a="1"/>
  <c r="AL5" i="238" a="1"/>
  <c r="AN107" i="238" a="1"/>
  <c r="AO106" i="238" a="1"/>
  <c r="AO5" i="238" a="1"/>
  <c r="AM107" i="238" a="1"/>
  <c r="AN106" i="238" a="1"/>
  <c r="AN5" i="238" a="1"/>
  <c r="AP107" i="237" a="1"/>
  <c r="AL107" i="237" a="1"/>
  <c r="AM106" i="237" a="1"/>
  <c r="AM5" i="237" a="1"/>
  <c r="AO107" i="237" a="1"/>
  <c r="AP106" i="237" a="1"/>
  <c r="AL106" i="237" a="1"/>
  <c r="AP5" i="237" a="1"/>
  <c r="AL5" i="237" a="1"/>
  <c r="AN107" i="237" a="1"/>
  <c r="AO106" i="237" a="1"/>
  <c r="AO5" i="237" a="1"/>
  <c r="AM107" i="237" a="1"/>
  <c r="AN106" i="237" a="1"/>
  <c r="AN5" i="237" a="1"/>
  <c r="Y7" i="240" l="1"/>
  <c r="Z7" i="240"/>
  <c r="AA7" i="240"/>
  <c r="AB7" i="240"/>
  <c r="AB36" i="240"/>
  <c r="Z46" i="240"/>
  <c r="AA41" i="240"/>
  <c r="AB41" i="240"/>
  <c r="Y46" i="240"/>
  <c r="Y31" i="240"/>
  <c r="AC31" i="240"/>
  <c r="Z36" i="240"/>
  <c r="AB46" i="240"/>
  <c r="AB31" i="240"/>
  <c r="Y36" i="240"/>
  <c r="AG5" i="240"/>
  <c r="AQ5" i="240" s="1"/>
  <c r="AG2" i="240"/>
  <c r="AA26" i="240"/>
  <c r="AA36" i="240"/>
  <c r="Z31" i="240"/>
  <c r="AA31" i="240"/>
  <c r="Z26" i="240"/>
  <c r="AB26" i="240"/>
  <c r="AC36" i="240"/>
  <c r="Y41" i="240"/>
  <c r="AC46" i="240"/>
  <c r="AC26" i="240"/>
  <c r="AC41" i="240"/>
  <c r="Z41" i="240"/>
  <c r="AA46" i="240"/>
  <c r="AG4" i="240"/>
  <c r="AQ4" i="240" s="1"/>
  <c r="AQ3" i="240" s="1"/>
  <c r="B3" i="240" s="1"/>
  <c r="Y26" i="240"/>
  <c r="AN5" i="240"/>
  <c r="AN106" i="240"/>
  <c r="AM107" i="240"/>
  <c r="AO5" i="240"/>
  <c r="AO106" i="240"/>
  <c r="AN107" i="240"/>
  <c r="AL5" i="240"/>
  <c r="AP5" i="240"/>
  <c r="AL106" i="240"/>
  <c r="AP106" i="240"/>
  <c r="AO107" i="240"/>
  <c r="AM5" i="240"/>
  <c r="AM106" i="240"/>
  <c r="AL107" i="240"/>
  <c r="AP107" i="240"/>
  <c r="AG11" i="240"/>
  <c r="AQ11" i="240" s="1"/>
  <c r="AD42" i="240"/>
  <c r="AG18" i="240"/>
  <c r="AQ18" i="240" s="1"/>
  <c r="Y16" i="240"/>
  <c r="Z17" i="240"/>
  <c r="AA18" i="240"/>
  <c r="AB19" i="240"/>
  <c r="Z21" i="240"/>
  <c r="AC22" i="240"/>
  <c r="AD26" i="240"/>
  <c r="AG14" i="240" s="1"/>
  <c r="AA32" i="240"/>
  <c r="Y42" i="240"/>
  <c r="AB47" i="240"/>
  <c r="AA55" i="240"/>
  <c r="AC59" i="240"/>
  <c r="Z61" i="240"/>
  <c r="Y15" i="240"/>
  <c r="Z16" i="240"/>
  <c r="AA17" i="240"/>
  <c r="AB18" i="240"/>
  <c r="AC19" i="240"/>
  <c r="AA21" i="240"/>
  <c r="Y27" i="240"/>
  <c r="AB32" i="240"/>
  <c r="Z42" i="240"/>
  <c r="AC47" i="240"/>
  <c r="AB55" i="240"/>
  <c r="Y57" i="240"/>
  <c r="AA61" i="240"/>
  <c r="AG2" i="239"/>
  <c r="Y14" i="240"/>
  <c r="Z15" i="240"/>
  <c r="AA16" i="240"/>
  <c r="AB17" i="240"/>
  <c r="AC18" i="240"/>
  <c r="Y20" i="240"/>
  <c r="AB21" i="240"/>
  <c r="Z27" i="240"/>
  <c r="AC32" i="240"/>
  <c r="AA42" i="240"/>
  <c r="S47" i="240"/>
  <c r="AD47" i="240" s="1"/>
  <c r="AC55" i="240"/>
  <c r="Z57" i="240"/>
  <c r="AB61" i="240"/>
  <c r="Y63" i="240"/>
  <c r="Y13" i="240"/>
  <c r="Z14" i="240"/>
  <c r="AA15" i="240"/>
  <c r="AB16" i="240"/>
  <c r="AC17" i="240"/>
  <c r="Z20" i="240"/>
  <c r="AC21" i="240"/>
  <c r="AA27" i="240"/>
  <c r="Y37" i="240"/>
  <c r="AB42" i="240"/>
  <c r="AA57" i="240"/>
  <c r="AC61" i="240"/>
  <c r="Z63" i="240"/>
  <c r="Z13" i="240"/>
  <c r="AA14" i="240"/>
  <c r="AB15" i="240"/>
  <c r="AC16" i="240"/>
  <c r="AA20" i="240"/>
  <c r="Y22" i="240"/>
  <c r="AB27" i="240"/>
  <c r="Z37" i="240"/>
  <c r="AC42" i="240"/>
  <c r="AB57" i="240"/>
  <c r="Y59" i="240"/>
  <c r="AA63" i="240"/>
  <c r="AA13" i="240"/>
  <c r="AB14" i="240"/>
  <c r="AC15" i="240"/>
  <c r="Y19" i="240"/>
  <c r="AB20" i="240"/>
  <c r="Z22" i="240"/>
  <c r="AC27" i="240"/>
  <c r="AA37" i="240"/>
  <c r="Y47" i="240"/>
  <c r="AC57" i="240"/>
  <c r="Z59" i="240"/>
  <c r="AB63" i="240"/>
  <c r="AB13" i="240"/>
  <c r="AC14" i="240"/>
  <c r="Y18" i="240"/>
  <c r="Z19" i="240"/>
  <c r="AC20" i="240"/>
  <c r="AA22" i="240"/>
  <c r="Y32" i="240"/>
  <c r="AB37" i="240"/>
  <c r="Z47" i="240"/>
  <c r="Y55" i="240"/>
  <c r="AA59" i="240"/>
  <c r="AC63" i="240"/>
  <c r="AC13" i="240"/>
  <c r="Y17" i="240"/>
  <c r="Z18" i="240"/>
  <c r="AA19" i="240"/>
  <c r="Y21" i="240"/>
  <c r="AB22" i="240"/>
  <c r="Z32" i="240"/>
  <c r="AC37" i="240"/>
  <c r="AA47" i="240"/>
  <c r="Z55" i="240"/>
  <c r="AB59" i="240"/>
  <c r="AA13" i="239"/>
  <c r="Z14" i="239"/>
  <c r="AC15" i="239"/>
  <c r="AB16" i="239"/>
  <c r="AC17" i="239"/>
  <c r="Z20" i="239"/>
  <c r="AC21" i="239"/>
  <c r="AA27" i="239"/>
  <c r="AB7" i="239"/>
  <c r="AA7" i="239"/>
  <c r="AB14" i="239"/>
  <c r="AA15" i="239"/>
  <c r="AG9" i="239"/>
  <c r="AQ9" i="239" s="1"/>
  <c r="AB46" i="239"/>
  <c r="Z26" i="239"/>
  <c r="AA46" i="239"/>
  <c r="AA26" i="239"/>
  <c r="AA41" i="239"/>
  <c r="AC46" i="239"/>
  <c r="AB26" i="239"/>
  <c r="Y26" i="239"/>
  <c r="AB36" i="239"/>
  <c r="AG5" i="239"/>
  <c r="AQ5" i="239" s="1"/>
  <c r="AB31" i="239"/>
  <c r="Y31" i="239"/>
  <c r="Z41" i="239"/>
  <c r="Z46" i="239"/>
  <c r="Y36" i="239"/>
  <c r="AA36" i="239"/>
  <c r="AC36" i="239"/>
  <c r="AB41" i="239"/>
  <c r="AC26" i="239"/>
  <c r="Z36" i="239"/>
  <c r="AC41" i="239"/>
  <c r="Y46" i="239"/>
  <c r="AG4" i="239"/>
  <c r="AA31" i="239"/>
  <c r="AC31" i="239"/>
  <c r="Z31" i="239"/>
  <c r="Y41" i="239"/>
  <c r="AN5" i="239"/>
  <c r="AN106" i="239"/>
  <c r="AM107" i="239"/>
  <c r="AO5" i="239"/>
  <c r="AO106" i="239"/>
  <c r="AN107" i="239"/>
  <c r="AL5" i="239"/>
  <c r="AP5" i="239"/>
  <c r="AL106" i="239"/>
  <c r="AP106" i="239"/>
  <c r="AO107" i="239"/>
  <c r="AM5" i="239"/>
  <c r="AM106" i="239"/>
  <c r="AL107" i="239"/>
  <c r="AP107" i="239"/>
  <c r="AG14" i="239"/>
  <c r="AG18" i="239"/>
  <c r="AQ18" i="239" s="1"/>
  <c r="AG11" i="239"/>
  <c r="AQ11" i="239" s="1"/>
  <c r="Y16" i="239"/>
  <c r="Z17" i="239"/>
  <c r="AA18" i="239"/>
  <c r="AB19" i="239"/>
  <c r="Z21" i="239"/>
  <c r="AC22" i="239"/>
  <c r="AA32" i="239"/>
  <c r="Y42" i="239"/>
  <c r="AB47" i="239"/>
  <c r="AA55" i="239"/>
  <c r="AC59" i="239"/>
  <c r="Z61" i="239"/>
  <c r="Y15" i="239"/>
  <c r="Z16" i="239"/>
  <c r="AA17" i="239"/>
  <c r="AB18" i="239"/>
  <c r="AC19" i="239"/>
  <c r="AA21" i="239"/>
  <c r="Y27" i="239"/>
  <c r="AB32" i="239"/>
  <c r="Z42" i="239"/>
  <c r="AC47" i="239"/>
  <c r="AB55" i="239"/>
  <c r="Y57" i="239"/>
  <c r="AA61" i="239"/>
  <c r="AC7" i="239"/>
  <c r="Y14" i="239"/>
  <c r="Z15" i="239"/>
  <c r="AA16" i="239"/>
  <c r="AB17" i="239"/>
  <c r="AC18" i="239"/>
  <c r="Y20" i="239"/>
  <c r="AB21" i="239"/>
  <c r="Z27" i="239"/>
  <c r="AC32" i="239"/>
  <c r="AA42" i="239"/>
  <c r="S47" i="239"/>
  <c r="AD47" i="239" s="1"/>
  <c r="AC55" i="239"/>
  <c r="Z57" i="239"/>
  <c r="AB61" i="239"/>
  <c r="Y63" i="239"/>
  <c r="Y37" i="239"/>
  <c r="AB42" i="239"/>
  <c r="AA57" i="239"/>
  <c r="AC61" i="239"/>
  <c r="Z63" i="239"/>
  <c r="Z13" i="239"/>
  <c r="AA14" i="239"/>
  <c r="AB15" i="239"/>
  <c r="AC16" i="239"/>
  <c r="AA20" i="239"/>
  <c r="Y22" i="239"/>
  <c r="AB27" i="239"/>
  <c r="Z37" i="239"/>
  <c r="AC42" i="239"/>
  <c r="AB57" i="239"/>
  <c r="Y59" i="239"/>
  <c r="AA63" i="239"/>
  <c r="Y19" i="239"/>
  <c r="AB20" i="239"/>
  <c r="Z22" i="239"/>
  <c r="AC27" i="239"/>
  <c r="AA37" i="239"/>
  <c r="Y47" i="239"/>
  <c r="AC57" i="239"/>
  <c r="Z59" i="239"/>
  <c r="AB63" i="239"/>
  <c r="Y7" i="239"/>
  <c r="AB13" i="239"/>
  <c r="AC14" i="239"/>
  <c r="Y18" i="239"/>
  <c r="Z19" i="239"/>
  <c r="AC20" i="239"/>
  <c r="AA22" i="239"/>
  <c r="Y32" i="239"/>
  <c r="AB37" i="239"/>
  <c r="Z47" i="239"/>
  <c r="Y55" i="239"/>
  <c r="AA59" i="239"/>
  <c r="AC63" i="239"/>
  <c r="AC13" i="239"/>
  <c r="Y17" i="239"/>
  <c r="Z18" i="239"/>
  <c r="AA19" i="239"/>
  <c r="Y21" i="239"/>
  <c r="AB22" i="239"/>
  <c r="Z32" i="239"/>
  <c r="AC37" i="239"/>
  <c r="AA47" i="239"/>
  <c r="Z55" i="239"/>
  <c r="AB59" i="239"/>
  <c r="AC15" i="238"/>
  <c r="AA16" i="238"/>
  <c r="AC17" i="238"/>
  <c r="AC18" i="238"/>
  <c r="Y19" i="238"/>
  <c r="Y20" i="238"/>
  <c r="Y13" i="238"/>
  <c r="AB14" i="238"/>
  <c r="Z15" i="238"/>
  <c r="AC27" i="238"/>
  <c r="AB16" i="238"/>
  <c r="AB17" i="238"/>
  <c r="Z20" i="238"/>
  <c r="AA13" i="238"/>
  <c r="Y14" i="238"/>
  <c r="AB20" i="238"/>
  <c r="AB21" i="238"/>
  <c r="Z14" i="238"/>
  <c r="AC21" i="238"/>
  <c r="Z22" i="238"/>
  <c r="AA27" i="238"/>
  <c r="AA37" i="238"/>
  <c r="AA15" i="238"/>
  <c r="AG9" i="238"/>
  <c r="AQ9" i="238" s="1"/>
  <c r="Z46" i="238"/>
  <c r="AA36" i="238"/>
  <c r="AB46" i="238"/>
  <c r="AG5" i="238"/>
  <c r="AQ5" i="238" s="1"/>
  <c r="Y46" i="238"/>
  <c r="Y26" i="238"/>
  <c r="AA46" i="238"/>
  <c r="Y41" i="238"/>
  <c r="Y36" i="238"/>
  <c r="AC36" i="238"/>
  <c r="AB41" i="238"/>
  <c r="AG2" i="238"/>
  <c r="AA26" i="238"/>
  <c r="AC31" i="238"/>
  <c r="AC26" i="238"/>
  <c r="AB31" i="238"/>
  <c r="AA41" i="238"/>
  <c r="AA31" i="238"/>
  <c r="AC41" i="238"/>
  <c r="Z26" i="238"/>
  <c r="Z31" i="238"/>
  <c r="AB26" i="238"/>
  <c r="Z41" i="238"/>
  <c r="Y31" i="238"/>
  <c r="Z36" i="238"/>
  <c r="AC46" i="238"/>
  <c r="AG4" i="238"/>
  <c r="AB36" i="238"/>
  <c r="AN5" i="238"/>
  <c r="AN106" i="238"/>
  <c r="AM107" i="238"/>
  <c r="AO5" i="238"/>
  <c r="AO106" i="238"/>
  <c r="AN107" i="238"/>
  <c r="AL5" i="238"/>
  <c r="AP5" i="238"/>
  <c r="AL106" i="238"/>
  <c r="AP106" i="238"/>
  <c r="AO107" i="238"/>
  <c r="AM5" i="238"/>
  <c r="AM106" i="238"/>
  <c r="AL107" i="238"/>
  <c r="AP107" i="238"/>
  <c r="AG11" i="238"/>
  <c r="AQ11" i="238" s="1"/>
  <c r="AG18" i="238"/>
  <c r="AQ18" i="238" s="1"/>
  <c r="AD27" i="238"/>
  <c r="AG15" i="238" s="1"/>
  <c r="AA7" i="238"/>
  <c r="Y16" i="238"/>
  <c r="Z17" i="238"/>
  <c r="AA18" i="238"/>
  <c r="AB19" i="238"/>
  <c r="Z21" i="238"/>
  <c r="AC22" i="238"/>
  <c r="AD26" i="238"/>
  <c r="AG14" i="238" s="1"/>
  <c r="AA32" i="238"/>
  <c r="Y42" i="238"/>
  <c r="AB47" i="238"/>
  <c r="AA55" i="238"/>
  <c r="AC59" i="238"/>
  <c r="Z61" i="238"/>
  <c r="AB7" i="238"/>
  <c r="Y15" i="238"/>
  <c r="Z16" i="238"/>
  <c r="AA17" i="238"/>
  <c r="AB18" i="238"/>
  <c r="AC19" i="238"/>
  <c r="AA21" i="238"/>
  <c r="Y27" i="238"/>
  <c r="AB32" i="238"/>
  <c r="Z42" i="238"/>
  <c r="AC47" i="238"/>
  <c r="AB55" i="238"/>
  <c r="Y57" i="238"/>
  <c r="AA61" i="238"/>
  <c r="AC7" i="238"/>
  <c r="Z27" i="238"/>
  <c r="AC32" i="238"/>
  <c r="AA42" i="238"/>
  <c r="AC55" i="238"/>
  <c r="Z57" i="238"/>
  <c r="AB61" i="238"/>
  <c r="Y63" i="238"/>
  <c r="Y37" i="238"/>
  <c r="AB42" i="238"/>
  <c r="AA57" i="238"/>
  <c r="AC61" i="238"/>
  <c r="Z63" i="238"/>
  <c r="Z13" i="238"/>
  <c r="AA14" i="238"/>
  <c r="AB15" i="238"/>
  <c r="AC16" i="238"/>
  <c r="AA20" i="238"/>
  <c r="Y22" i="238"/>
  <c r="AB27" i="238"/>
  <c r="Z37" i="238"/>
  <c r="AC42" i="238"/>
  <c r="AB57" i="238"/>
  <c r="Y59" i="238"/>
  <c r="AA63" i="238"/>
  <c r="Y47" i="238"/>
  <c r="AC57" i="238"/>
  <c r="Z59" i="238"/>
  <c r="AB63" i="238"/>
  <c r="Y7" i="238"/>
  <c r="AB13" i="238"/>
  <c r="AC14" i="238"/>
  <c r="Y18" i="238"/>
  <c r="Z19" i="238"/>
  <c r="AC20" i="238"/>
  <c r="AA22" i="238"/>
  <c r="Y32" i="238"/>
  <c r="AB37" i="238"/>
  <c r="Z47" i="238"/>
  <c r="Y55" i="238"/>
  <c r="AA59" i="238"/>
  <c r="AC63" i="238"/>
  <c r="AC13" i="238"/>
  <c r="Y17" i="238"/>
  <c r="Z18" i="238"/>
  <c r="AA19" i="238"/>
  <c r="Y21" i="238"/>
  <c r="AB22" i="238"/>
  <c r="Z32" i="238"/>
  <c r="AC37" i="238"/>
  <c r="AA47" i="238"/>
  <c r="Z55" i="238"/>
  <c r="AB59" i="238"/>
  <c r="AB14" i="237"/>
  <c r="AA19" i="237"/>
  <c r="AC14" i="237"/>
  <c r="Z15" i="237"/>
  <c r="Z27" i="237"/>
  <c r="AB27" i="237"/>
  <c r="AB19" i="237"/>
  <c r="Y20" i="237"/>
  <c r="AA15" i="237"/>
  <c r="AA16" i="237"/>
  <c r="Z20" i="237"/>
  <c r="AC16" i="237"/>
  <c r="Y17" i="237"/>
  <c r="AA20" i="237"/>
  <c r="Z21" i="237"/>
  <c r="AC27" i="237"/>
  <c r="AC37" i="237"/>
  <c r="Z17" i="237"/>
  <c r="AC21" i="237"/>
  <c r="Y22" i="237"/>
  <c r="Z13" i="237"/>
  <c r="AB17" i="237"/>
  <c r="Z22" i="237"/>
  <c r="AC13" i="237"/>
  <c r="Y14" i="237"/>
  <c r="AC17" i="237"/>
  <c r="Y18" i="237"/>
  <c r="AA22" i="237"/>
  <c r="Y13" i="237"/>
  <c r="AA32" i="237"/>
  <c r="AA14" i="237"/>
  <c r="AC18" i="237"/>
  <c r="Y19" i="237"/>
  <c r="AB22" i="237"/>
  <c r="AB47" i="237"/>
  <c r="AC59" i="237"/>
  <c r="Y42" i="237"/>
  <c r="Z7" i="237"/>
  <c r="AA13" i="237"/>
  <c r="AB15" i="237"/>
  <c r="Z18" i="237"/>
  <c r="AB20" i="237"/>
  <c r="AC22" i="237"/>
  <c r="Y32" i="237"/>
  <c r="Y37" i="237"/>
  <c r="AA42" i="237"/>
  <c r="AA7" i="237"/>
  <c r="AB13" i="237"/>
  <c r="AC15" i="237"/>
  <c r="Y16" i="237"/>
  <c r="AA18" i="237"/>
  <c r="AC20" i="237"/>
  <c r="Y21" i="237"/>
  <c r="Z32" i="237"/>
  <c r="AB37" i="237"/>
  <c r="Z14" i="237"/>
  <c r="AB16" i="237"/>
  <c r="Z19" i="237"/>
  <c r="AB21" i="237"/>
  <c r="AA27" i="237"/>
  <c r="AC32" i="237"/>
  <c r="AA55" i="237"/>
  <c r="Z61" i="237"/>
  <c r="AA47" i="237"/>
  <c r="AG9" i="237"/>
  <c r="AQ9" i="237" s="1"/>
  <c r="AG5" i="237"/>
  <c r="AQ5" i="237" s="1"/>
  <c r="AA46" i="237"/>
  <c r="Z46" i="237"/>
  <c r="AB46" i="237"/>
  <c r="AA31" i="237"/>
  <c r="Y41" i="237"/>
  <c r="Y31" i="237"/>
  <c r="AG2" i="237"/>
  <c r="AB31" i="237"/>
  <c r="Y46" i="237"/>
  <c r="Y26" i="237"/>
  <c r="AA36" i="237"/>
  <c r="AB36" i="237"/>
  <c r="Y36" i="237"/>
  <c r="Z36" i="237"/>
  <c r="AC31" i="237"/>
  <c r="AC26" i="237"/>
  <c r="AA26" i="237"/>
  <c r="AC36" i="237"/>
  <c r="AC46" i="237"/>
  <c r="AB26" i="237"/>
  <c r="AB41" i="237"/>
  <c r="AG4" i="237"/>
  <c r="AC41" i="237"/>
  <c r="Z26" i="237"/>
  <c r="Z31" i="237"/>
  <c r="Z41" i="237"/>
  <c r="AA41" i="237"/>
  <c r="AN5" i="237"/>
  <c r="AN106" i="237"/>
  <c r="AM107" i="237"/>
  <c r="AO5" i="237"/>
  <c r="AO106" i="237"/>
  <c r="AN107" i="237"/>
  <c r="AL5" i="237"/>
  <c r="AP5" i="237"/>
  <c r="AL106" i="237"/>
  <c r="AP106" i="237"/>
  <c r="AO107" i="237"/>
  <c r="AM5" i="237"/>
  <c r="AM106" i="237"/>
  <c r="AL107" i="237"/>
  <c r="AP107" i="237"/>
  <c r="AG18" i="237"/>
  <c r="AQ18" i="237" s="1"/>
  <c r="AG11" i="237"/>
  <c r="AQ11" i="237" s="1"/>
  <c r="AB7" i="237"/>
  <c r="Y15" i="237"/>
  <c r="Z16" i="237"/>
  <c r="AA17" i="237"/>
  <c r="AB18" i="237"/>
  <c r="AC19" i="237"/>
  <c r="AA21" i="237"/>
  <c r="Y27" i="237"/>
  <c r="AB32" i="237"/>
  <c r="Z42" i="237"/>
  <c r="AC47" i="237"/>
  <c r="AB55" i="237"/>
  <c r="Y57" i="237"/>
  <c r="AA61" i="237"/>
  <c r="AC55" i="237"/>
  <c r="Z57" i="237"/>
  <c r="AB61" i="237"/>
  <c r="Y63" i="237"/>
  <c r="S32" i="237"/>
  <c r="AD32" i="237" s="1"/>
  <c r="AB42" i="237"/>
  <c r="AA57" i="237"/>
  <c r="AC61" i="237"/>
  <c r="Z63" i="237"/>
  <c r="AC7" i="237"/>
  <c r="Z37" i="237"/>
  <c r="AC42" i="237"/>
  <c r="AB57" i="237"/>
  <c r="Y59" i="237"/>
  <c r="AA63" i="237"/>
  <c r="AA37" i="237"/>
  <c r="Y47" i="237"/>
  <c r="AC57" i="237"/>
  <c r="Z59" i="237"/>
  <c r="AB63" i="237"/>
  <c r="Z47" i="237"/>
  <c r="Y55" i="237"/>
  <c r="AA59" i="237"/>
  <c r="AC63" i="237"/>
  <c r="Z55" i="237"/>
  <c r="AB59" i="237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N6" i="240" a="1"/>
  <c r="AO6" i="240" a="1"/>
  <c r="AM6" i="240" a="1"/>
  <c r="AL6" i="240" a="1"/>
  <c r="AP6" i="240" a="1"/>
  <c r="AN6" i="239" a="1"/>
  <c r="AO6" i="239" a="1"/>
  <c r="AM6" i="239" a="1"/>
  <c r="AL6" i="239" a="1"/>
  <c r="AP6" i="239" a="1"/>
  <c r="AN6" i="238" a="1"/>
  <c r="AO6" i="238" a="1"/>
  <c r="AM6" i="238" a="1"/>
  <c r="AL6" i="238" a="1"/>
  <c r="AP6" i="238" a="1"/>
  <c r="AN6" i="237" a="1"/>
  <c r="AO6" i="237" a="1"/>
  <c r="AM6" i="237" a="1"/>
  <c r="AL6" i="237" a="1"/>
  <c r="AP6" i="237" a="1"/>
  <c r="AN107" i="4" a="1"/>
  <c r="AM106" i="4" a="1"/>
  <c r="AP5" i="4" a="1"/>
  <c r="AM107" i="4" a="1"/>
  <c r="AL107" i="4" a="1"/>
  <c r="AM5" i="4" a="1"/>
  <c r="AO5" i="4" a="1"/>
  <c r="AO107" i="4" a="1"/>
  <c r="AP106" i="4" a="1"/>
  <c r="AL5" i="4" a="1"/>
  <c r="AN5" i="4" a="1"/>
  <c r="AL106" i="4" a="1"/>
  <c r="AN106" i="4" a="1"/>
  <c r="AP107" i="4" a="1"/>
  <c r="AO106" i="4" a="1"/>
  <c r="AG8" i="240" l="1"/>
  <c r="AQ8" i="240" s="1"/>
  <c r="AQ7" i="240" s="1"/>
  <c r="L5" i="240" s="1"/>
  <c r="AD48" i="240"/>
  <c r="AD38" i="240"/>
  <c r="AG12" i="240"/>
  <c r="AD33" i="240"/>
  <c r="AD43" i="240"/>
  <c r="AD28" i="240"/>
  <c r="AP6" i="240"/>
  <c r="AC48" i="240" s="1"/>
  <c r="AL6" i="240"/>
  <c r="Y28" i="240" s="1"/>
  <c r="AM6" i="240"/>
  <c r="Z33" i="240" s="1"/>
  <c r="AO6" i="240"/>
  <c r="AC43" i="240" s="1"/>
  <c r="AN6" i="240"/>
  <c r="AC38" i="240" s="1"/>
  <c r="AG10" i="240"/>
  <c r="AG17" i="240"/>
  <c r="AQ17" i="240" s="1"/>
  <c r="L52" i="240" s="1"/>
  <c r="AD37" i="240"/>
  <c r="AD27" i="240"/>
  <c r="AG15" i="240" s="1"/>
  <c r="AD32" i="240"/>
  <c r="AD33" i="239"/>
  <c r="AQ4" i="239"/>
  <c r="AQ3" i="239" s="1"/>
  <c r="B3" i="239" s="1"/>
  <c r="AD38" i="239"/>
  <c r="AD43" i="239"/>
  <c r="AG12" i="239"/>
  <c r="AG8" i="239"/>
  <c r="AQ8" i="239" s="1"/>
  <c r="AQ7" i="239" s="1"/>
  <c r="L5" i="239" s="1"/>
  <c r="AD48" i="239"/>
  <c r="AG10" i="239"/>
  <c r="AQ10" i="239" s="1"/>
  <c r="L10" i="239" s="1"/>
  <c r="AP6" i="239"/>
  <c r="Z48" i="239" s="1"/>
  <c r="AL6" i="239"/>
  <c r="Z28" i="239" s="1"/>
  <c r="AM6" i="239"/>
  <c r="Z33" i="239" s="1"/>
  <c r="AO6" i="239"/>
  <c r="AC43" i="239" s="1"/>
  <c r="AN6" i="239"/>
  <c r="Y38" i="239" s="1"/>
  <c r="AD42" i="239"/>
  <c r="AD37" i="239"/>
  <c r="AD27" i="239"/>
  <c r="AG17" i="239"/>
  <c r="AQ17" i="239" s="1"/>
  <c r="L52" i="239" s="1"/>
  <c r="AD32" i="239"/>
  <c r="AD28" i="239"/>
  <c r="AD33" i="238"/>
  <c r="AD43" i="238"/>
  <c r="AQ4" i="238"/>
  <c r="AQ3" i="238" s="1"/>
  <c r="B3" i="238" s="1"/>
  <c r="AG12" i="238"/>
  <c r="AD48" i="238"/>
  <c r="AG10" i="238"/>
  <c r="AQ10" i="238" s="1"/>
  <c r="L10" i="238" s="1"/>
  <c r="AP6" i="238"/>
  <c r="AC48" i="238" s="1"/>
  <c r="AL6" i="238"/>
  <c r="AC28" i="238" s="1"/>
  <c r="AM6" i="238"/>
  <c r="Z33" i="238" s="1"/>
  <c r="AO6" i="238"/>
  <c r="Z43" i="238" s="1"/>
  <c r="AN6" i="238"/>
  <c r="AA38" i="238" s="1"/>
  <c r="AG17" i="238"/>
  <c r="AQ17" i="238" s="1"/>
  <c r="L52" i="238" s="1"/>
  <c r="AG8" i="238"/>
  <c r="AD38" i="238"/>
  <c r="AQ4" i="237"/>
  <c r="AQ3" i="237" s="1"/>
  <c r="B3" i="237" s="1"/>
  <c r="AD28" i="238"/>
  <c r="AD43" i="237"/>
  <c r="AG8" i="237"/>
  <c r="AQ8" i="237" s="1"/>
  <c r="AQ7" i="237" s="1"/>
  <c r="L5" i="237" s="1"/>
  <c r="AG12" i="237"/>
  <c r="AD33" i="237"/>
  <c r="AP6" i="237"/>
  <c r="AC48" i="237" s="1"/>
  <c r="AL6" i="237"/>
  <c r="Z28" i="237" s="1"/>
  <c r="AM6" i="237"/>
  <c r="AB33" i="237" s="1"/>
  <c r="AO6" i="237"/>
  <c r="AC43" i="237" s="1"/>
  <c r="AN6" i="237"/>
  <c r="AC38" i="237" s="1"/>
  <c r="AD47" i="237"/>
  <c r="AD27" i="237"/>
  <c r="AG15" i="237" s="1"/>
  <c r="AG17" i="237"/>
  <c r="AQ17" i="237" s="1"/>
  <c r="L52" i="237" s="1"/>
  <c r="AG10" i="237"/>
  <c r="AQ10" i="237" s="1"/>
  <c r="L10" i="237" s="1"/>
  <c r="AD42" i="237"/>
  <c r="AD37" i="237"/>
  <c r="AD48" i="237"/>
  <c r="AD38" i="237"/>
  <c r="AD28" i="237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4" a="1"/>
  <c r="AM6" i="4" a="1"/>
  <c r="AP6" i="4" a="1"/>
  <c r="AL6" i="4" a="1"/>
  <c r="AO6" i="4" a="1"/>
  <c r="AB33" i="240" l="1"/>
  <c r="AA38" i="239"/>
  <c r="AB38" i="239"/>
  <c r="AB28" i="240"/>
  <c r="AC28" i="240"/>
  <c r="Z28" i="240"/>
  <c r="Y33" i="240"/>
  <c r="AA33" i="240"/>
  <c r="AA28" i="240"/>
  <c r="AC33" i="240"/>
  <c r="AG16" i="240"/>
  <c r="AQ16" i="240" s="1"/>
  <c r="AQ15" i="240" s="1"/>
  <c r="AQ14" i="240" s="1"/>
  <c r="Y43" i="240"/>
  <c r="Z43" i="240"/>
  <c r="Z48" i="240"/>
  <c r="AA43" i="240"/>
  <c r="AB43" i="240"/>
  <c r="AA38" i="240"/>
  <c r="AA33" i="239"/>
  <c r="AB33" i="239"/>
  <c r="Z38" i="239"/>
  <c r="Z38" i="240"/>
  <c r="Y48" i="240"/>
  <c r="AB38" i="240"/>
  <c r="AA48" i="240"/>
  <c r="Y38" i="240"/>
  <c r="AB48" i="240"/>
  <c r="AB48" i="239"/>
  <c r="AA43" i="239"/>
  <c r="Y43" i="239"/>
  <c r="Z43" i="239"/>
  <c r="AQ10" i="240"/>
  <c r="L10" i="240" s="1"/>
  <c r="AC38" i="239"/>
  <c r="AG16" i="239"/>
  <c r="AQ16" i="239" s="1"/>
  <c r="AC33" i="239"/>
  <c r="AB43" i="239"/>
  <c r="AC48" i="239"/>
  <c r="AA48" i="239"/>
  <c r="Y48" i="239"/>
  <c r="AB28" i="239"/>
  <c r="AC28" i="239"/>
  <c r="AA28" i="239"/>
  <c r="AA33" i="238"/>
  <c r="Y33" i="239"/>
  <c r="Y28" i="239"/>
  <c r="AB33" i="238"/>
  <c r="AC33" i="238"/>
  <c r="AB38" i="238"/>
  <c r="AG15" i="239"/>
  <c r="AA28" i="238"/>
  <c r="Y48" i="238"/>
  <c r="Z48" i="237"/>
  <c r="AA48" i="237"/>
  <c r="Y33" i="238"/>
  <c r="Z48" i="238"/>
  <c r="AA48" i="238"/>
  <c r="AB48" i="238"/>
  <c r="AB28" i="238"/>
  <c r="AB48" i="237"/>
  <c r="Y28" i="238"/>
  <c r="Z28" i="238"/>
  <c r="AC38" i="238"/>
  <c r="Y38" i="238"/>
  <c r="Z38" i="238"/>
  <c r="Y43" i="238"/>
  <c r="AA43" i="238"/>
  <c r="AB43" i="238"/>
  <c r="Y48" i="237"/>
  <c r="AC43" i="238"/>
  <c r="AQ8" i="238"/>
  <c r="AQ7" i="238" s="1"/>
  <c r="L5" i="238" s="1"/>
  <c r="AG16" i="238"/>
  <c r="AQ16" i="238" s="1"/>
  <c r="AQ15" i="238" s="1"/>
  <c r="AQ14" i="238" s="1"/>
  <c r="Y33" i="237"/>
  <c r="Z33" i="237"/>
  <c r="AC33" i="237"/>
  <c r="AC28" i="237"/>
  <c r="AB28" i="237"/>
  <c r="Y38" i="237"/>
  <c r="AA38" i="237"/>
  <c r="Z38" i="237"/>
  <c r="AB38" i="237"/>
  <c r="AA33" i="237"/>
  <c r="Y28" i="237"/>
  <c r="AA28" i="237"/>
  <c r="AA43" i="237"/>
  <c r="Y43" i="237"/>
  <c r="Z43" i="237"/>
  <c r="AB43" i="237"/>
  <c r="AG16" i="237"/>
  <c r="AQ16" i="237" s="1"/>
  <c r="AQ15" i="237" s="1"/>
  <c r="AQ14" i="237" s="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G13" i="240" l="1"/>
  <c r="AQ13" i="240" s="1"/>
  <c r="AQ12" i="240" s="1"/>
  <c r="L24" i="240" s="1"/>
  <c r="AQ15" i="239"/>
  <c r="AQ14" i="239" s="1"/>
  <c r="AG13" i="239"/>
  <c r="AG13" i="238"/>
  <c r="AQ13" i="238" s="1"/>
  <c r="AQ12" i="238" s="1"/>
  <c r="L24" i="238" s="1"/>
  <c r="AG13" i="237"/>
  <c r="AQ13" i="237" s="1"/>
  <c r="AQ12" i="237" s="1"/>
  <c r="L24" i="237" s="1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3" i="239" l="1"/>
  <c r="AQ12" i="239" s="1"/>
  <c r="L24" i="239" s="1"/>
  <c r="D1" i="240"/>
  <c r="F5" i="1" s="1"/>
  <c r="D1" i="239"/>
  <c r="F4" i="1" s="1"/>
  <c r="D1" i="238"/>
  <c r="F3" i="1" s="1"/>
  <c r="D1" i="237"/>
  <c r="F2" i="1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6" i="4" l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<sst xmlns="http://schemas.openxmlformats.org/spreadsheetml/2006/main" count="868" uniqueCount="195">
  <si>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</si>
  <si>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</si>
  <si>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</si>
  <si>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</si>
  <si>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</si>
  <si>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</si>
  <si>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</si>
  <si>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</si>
  <si>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</si>
  <si>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</si>
  <si>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</si>
  <si>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</si>
  <si>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</si>
  <si>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</si>
  <si>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</si>
  <si>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</si>
  <si>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</si>
  <si>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</si>
  <si>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</si>
  <si>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</si>
  <si>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</si>
  <si>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</si>
  <si>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</si>
  <si>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</si>
  <si>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</si>
  <si>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</si>
  <si>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</si>
  <si>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</si>
  <si>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</si>
  <si>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</si>
  <si>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</si>
  <si>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</si>
  <si>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</si>
  <si>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</si>
  <si>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</si>
  <si>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</si>
  <si>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</si>
  <si>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</si>
  <si>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</si>
  <si>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</si>
  <si>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</si>
  <si>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</si>
  <si>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</si>
  <si>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</si>
  <si>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</si>
  <si>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</si>
  <si>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</si>
  <si>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</si>
  <si>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</si>
  <si>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</si>
  <si>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</si>
  <si>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</si>
  <si>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</si>
  <si>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</si>
  <si>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</si>
  <si>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</si>
  <si>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</si>
  <si>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</si>
  <si>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</si>
  <si>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</si>
  <si>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</si>
  <si>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</si>
  <si>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</si>
  <si>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</si>
  <si>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</si>
  <si>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</si>
  <si>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</si>
  <si>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</si>
  <si>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</si>
  <si>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</si>
  <si>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</si>
  <si>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</si>
  <si>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</si>
  <si>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</si>
  <si>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</si>
  <si>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</si>
  <si>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</si>
  <si>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</si>
  <si>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</si>
  <si>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</si>
  <si>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</si>
  <si>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</si>
  <si>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</si>
  <si>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</si>
  <si>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</si>
  <si>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</si>
  <si>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</si>
  <si>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</si>
  <si>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</si>
  <si>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</si>
  <si>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</si>
  <si>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</si>
  <si>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</si>
  <si>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</si>
  <si>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</si>
  <si>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</si>
  <si>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</si>
  <si>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</si>
  <si>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</si>
  <si>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</si>
  <si>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日付</t>
  </si>
  <si>
    <t>sys_date</t>
  </si>
  <si>
    <t>受注番号</t>
  </si>
  <si>
    <t>order_no</t>
  </si>
  <si>
    <t>varchar(10)</t>
  </si>
  <si>
    <t>operator_name</t>
  </si>
  <si>
    <t>(LENGTH(operator_name) &gt;= 3)</t>
  </si>
  <si>
    <t>担当者名称</t>
  </si>
  <si>
    <t>得意先名称</t>
  </si>
  <si>
    <t>customer_name</t>
  </si>
  <si>
    <t>varchar(50)</t>
  </si>
  <si>
    <t>受注先企業名</t>
  </si>
  <si>
    <t>金額</t>
  </si>
  <si>
    <t>price</t>
  </si>
  <si>
    <t>(0 &lt;= price AND price &lt;= 9999999)</t>
  </si>
  <si>
    <t>varchar(5)</t>
  </si>
  <si>
    <t>商品名</t>
  </si>
  <si>
    <t>product_name</t>
  </si>
  <si>
    <t>商品名称</t>
  </si>
  <si>
    <t>数量</t>
  </si>
  <si>
    <t>quantity</t>
  </si>
  <si>
    <t>(0 &lt;= quantity AND quantity &lt;= 1000)</t>
  </si>
  <si>
    <t>受注日</t>
  </si>
  <si>
    <t>order_date</t>
  </si>
  <si>
    <t>受注担当者名</t>
  </si>
  <si>
    <t>order_pic</t>
  </si>
  <si>
    <t>(LENGTH(order_pic) &gt;= 3)</t>
  </si>
  <si>
    <t>受注総額</t>
  </si>
  <si>
    <t>商品原価</t>
  </si>
  <si>
    <t>cost_price</t>
  </si>
  <si>
    <t>(0 &lt;= cost_price AND cost_price &lt;= 9999999)</t>
  </si>
  <si>
    <t>受注数</t>
  </si>
  <si>
    <t>receiving_quantity</t>
  </si>
  <si>
    <t>(0 &lt;= receiving_quantity AND receiving_quantity &lt;= 1000)</t>
  </si>
  <si>
    <t>出荷数</t>
  </si>
  <si>
    <t>shipping_quantity</t>
  </si>
  <si>
    <t>(0 &lt;= shipping_quantity AND shipping_quantity &lt;= 1000)</t>
  </si>
  <si>
    <t>キャンセル数</t>
  </si>
  <si>
    <t>cancel_quantity</t>
  </si>
  <si>
    <t>(0 &lt;= cancel_quantity AND cancel_quantity &lt;= 1000)</t>
  </si>
  <si>
    <t>受注残数</t>
  </si>
  <si>
    <t>remaining_quantity</t>
  </si>
  <si>
    <t>(0 &lt;= remaining_quantity AND remaining_quantity &lt;= 1000)</t>
  </si>
  <si>
    <t>販売単価</t>
  </si>
  <si>
    <t>sellling_price</t>
  </si>
  <si>
    <t>(0 &lt;= sellling_price AND sellling_price &lt;= 9999999)</t>
  </si>
  <si>
    <t>キャンセル日</t>
  </si>
  <si>
    <t>cancel_date</t>
  </si>
  <si>
    <t>出荷日</t>
  </si>
  <si>
    <t>sipping_date</t>
  </si>
  <si>
    <t>受注</t>
  </si>
  <si>
    <t>受注番号</t>
    <phoneticPr fontId="2"/>
  </si>
  <si>
    <t>受注明細</t>
  </si>
  <si>
    <t>受注明細</t>
    <phoneticPr fontId="2"/>
  </si>
  <si>
    <t>受注</t>
    <phoneticPr fontId="2"/>
  </si>
  <si>
    <t>商品</t>
  </si>
  <si>
    <t>serial</t>
  </si>
  <si>
    <t>受注金額</t>
  </si>
  <si>
    <t>total_order_price</t>
  </si>
  <si>
    <t>(0 &lt;= total_order_price AND total_order_price &lt;= 9999999)</t>
  </si>
  <si>
    <t>-</t>
    <phoneticPr fontId="2"/>
  </si>
  <si>
    <t/>
  </si>
  <si>
    <t>products</t>
  </si>
  <si>
    <t>移行元システム</t>
    <phoneticPr fontId="2"/>
  </si>
  <si>
    <t>source</t>
    <phoneticPr fontId="2"/>
  </si>
  <si>
    <t>商品名</t>
    <phoneticPr fontId="2"/>
  </si>
  <si>
    <t>受注番号(サロゲートキー)</t>
  </si>
  <si>
    <t>受注明細番号</t>
  </si>
  <si>
    <t>order_detail_no</t>
  </si>
  <si>
    <t>受注明細番号(サロゲートキー)</t>
  </si>
  <si>
    <t>出荷済フラグ</t>
  </si>
  <si>
    <t>shipping_flag</t>
  </si>
  <si>
    <t>boolean</t>
  </si>
  <si>
    <t>商品出荷済みの場合にTrue</t>
  </si>
  <si>
    <t>キャンセルフラグ</t>
  </si>
  <si>
    <t>canceled_flag</t>
  </si>
  <si>
    <t>受注キャンセルの場合にTrue</t>
  </si>
  <si>
    <t>varchar(8)</t>
  </si>
  <si>
    <t>日付(YYYYMMDD)</t>
  </si>
  <si>
    <t>担当者</t>
  </si>
  <si>
    <t>担当者ID</t>
  </si>
  <si>
    <t>operator_id</t>
  </si>
  <si>
    <t>受注番号(WORK)</t>
  </si>
  <si>
    <t>order_now</t>
  </si>
  <si>
    <t>(order_now ~* '^RO-[0-9]{7}$')</t>
  </si>
  <si>
    <t>受注番号(新規採番)</t>
  </si>
  <si>
    <t>商品ID(WORK)</t>
  </si>
  <si>
    <t>product_idw</t>
  </si>
  <si>
    <t>(product_idw ~* '^P[0-9]{4}$')</t>
  </si>
  <si>
    <t>商品ID(新規採番)</t>
  </si>
  <si>
    <t>担当者ID</t>
    <phoneticPr fontId="2"/>
  </si>
  <si>
    <t>担当者名</t>
  </si>
  <si>
    <t>orders</t>
  </si>
  <si>
    <t>order_details</t>
  </si>
  <si>
    <t>operaters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</si>
</sst>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94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23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102</v>
      </c>
      <c r="B2" s="60" t="s">
        <v>103</v>
      </c>
      <c r="C2" s="60" t="s">
        <v>156</v>
      </c>
      <c r="D2" s="60"/>
      <c r="E2" s="60" t="b">
        <v>0</v>
      </c>
      <c r="F2" s="60" t="s">
        <v>166</v>
      </c>
      <c r="G2" s="62">
        <v>0</v>
      </c>
      <c r="H2" s="60" t="s">
        <v>102</v>
      </c>
      <c r="I2"/>
    </row>
    <row r="3" spans="1:9" ht="18">
      <c r="A3" s="60" t="s">
        <v>100</v>
      </c>
      <c r="B3" s="60" t="s">
        <v>101</v>
      </c>
      <c r="C3" s="60" t="s">
        <v>177</v>
      </c>
      <c r="D3" s="60"/>
      <c r="E3" s="60" t="b">
        <v>0</v>
      </c>
      <c r="F3" s="60" t="s">
        <v>178</v>
      </c>
      <c r="G3" s="62">
        <v>0</v>
      </c>
      <c r="H3" s="60" t="s">
        <v>100</v>
      </c>
      <c r="I3"/>
    </row>
    <row r="4" spans="1:9" ht="18">
      <c r="A4" s="60" t="s">
        <v>191</v>
      </c>
      <c r="B4" s="60" t="s">
        <v>105</v>
      </c>
      <c r="C4" s="60" t="s">
        <v>42</v>
      </c>
      <c r="D4" s="60" t="s">
        <v>106</v>
      </c>
      <c r="E4" s="60" t="b">
        <v>0</v>
      </c>
      <c r="F4" s="60" t="s">
        <v>107</v>
      </c>
      <c r="G4" s="62">
        <v>0</v>
      </c>
      <c r="H4" s="60" t="s">
        <v>191</v>
      </c>
      <c r="I4"/>
    </row>
    <row r="5" spans="1:9" ht="18">
      <c r="A5" s="60" t="s">
        <v>108</v>
      </c>
      <c r="B5" s="60" t="s">
        <v>109</v>
      </c>
      <c r="C5" s="60" t="s">
        <v>110</v>
      </c>
      <c r="D5" s="60"/>
      <c r="E5" s="60" t="b">
        <v>0</v>
      </c>
      <c r="F5" s="60" t="s">
        <v>111</v>
      </c>
      <c r="G5" s="62">
        <v>0</v>
      </c>
      <c r="H5" s="60" t="s">
        <v>108</v>
      </c>
      <c r="I5"/>
    </row>
    <row r="6" spans="1:9" ht="18">
      <c r="A6" s="60" t="s">
        <v>112</v>
      </c>
      <c r="B6" s="60" t="s">
        <v>113</v>
      </c>
      <c r="C6" s="60" t="s">
        <v>41</v>
      </c>
      <c r="D6" s="60" t="s">
        <v>114</v>
      </c>
      <c r="E6" s="60" t="b">
        <v>0</v>
      </c>
      <c r="F6" s="60" t="s">
        <v>112</v>
      </c>
      <c r="G6" s="62">
        <v>0</v>
      </c>
      <c r="H6" s="60" t="s">
        <v>112</v>
      </c>
      <c r="I6"/>
    </row>
    <row r="7" spans="1:9" ht="18">
      <c r="A7" s="60" t="s">
        <v>116</v>
      </c>
      <c r="B7" s="60" t="s">
        <v>117</v>
      </c>
      <c r="C7" s="60" t="s">
        <v>42</v>
      </c>
      <c r="D7" s="60"/>
      <c r="E7" s="60" t="b">
        <v>0</v>
      </c>
      <c r="F7" s="60" t="s">
        <v>118</v>
      </c>
      <c r="G7" s="62">
        <v>0</v>
      </c>
      <c r="H7" s="60" t="s">
        <v>116</v>
      </c>
      <c r="I7"/>
    </row>
    <row r="8" spans="1:9" ht="18">
      <c r="A8" s="60" t="s">
        <v>119</v>
      </c>
      <c r="B8" s="60" t="s">
        <v>120</v>
      </c>
      <c r="C8" s="60" t="s">
        <v>41</v>
      </c>
      <c r="D8" s="60" t="s">
        <v>121</v>
      </c>
      <c r="E8" s="60" t="b">
        <v>0</v>
      </c>
      <c r="F8" s="60" t="s">
        <v>119</v>
      </c>
      <c r="G8" s="62">
        <v>0</v>
      </c>
      <c r="H8" s="60" t="s">
        <v>119</v>
      </c>
      <c r="I8"/>
    </row>
    <row r="9" spans="1:9" ht="18">
      <c r="A9" s="60" t="s">
        <v>167</v>
      </c>
      <c r="B9" s="60" t="s">
        <v>168</v>
      </c>
      <c r="C9" s="60" t="s">
        <v>156</v>
      </c>
      <c r="D9" s="60"/>
      <c r="E9" s="60" t="b">
        <v>0</v>
      </c>
      <c r="F9" s="60" t="s">
        <v>169</v>
      </c>
      <c r="G9" s="62">
        <v>0</v>
      </c>
      <c r="H9" s="60" t="s">
        <v>167</v>
      </c>
      <c r="I9"/>
    </row>
    <row r="10" spans="1:9" ht="18">
      <c r="A10" s="60" t="s">
        <v>170</v>
      </c>
      <c r="B10" s="60" t="s">
        <v>171</v>
      </c>
      <c r="C10" s="60" t="s">
        <v>172</v>
      </c>
      <c r="D10" s="60"/>
      <c r="E10" s="60" t="b">
        <v>1</v>
      </c>
      <c r="F10" s="60" t="s">
        <v>173</v>
      </c>
      <c r="G10" s="62">
        <v>0</v>
      </c>
      <c r="H10" s="60" t="s">
        <v>170</v>
      </c>
      <c r="I10"/>
    </row>
    <row r="11" spans="1:9" ht="18">
      <c r="A11" s="60" t="s">
        <v>174</v>
      </c>
      <c r="B11" s="60" t="s">
        <v>175</v>
      </c>
      <c r="C11" s="60" t="s">
        <v>172</v>
      </c>
      <c r="D11" s="60"/>
      <c r="E11" s="60" t="b">
        <v>1</v>
      </c>
      <c r="F11" s="60" t="s">
        <v>176</v>
      </c>
      <c r="G11" s="62">
        <v>0</v>
      </c>
      <c r="H11" s="60" t="s">
        <v>174</v>
      </c>
      <c r="I11"/>
    </row>
    <row r="12" spans="1:9" ht="18">
      <c r="A12" s="60" t="s">
        <v>180</v>
      </c>
      <c r="B12" s="60" t="s">
        <v>181</v>
      </c>
      <c r="C12" s="60" t="s">
        <v>115</v>
      </c>
      <c r="D12" s="60"/>
      <c r="E12" s="60" t="b">
        <v>0</v>
      </c>
      <c r="F12" s="60" t="s">
        <v>180</v>
      </c>
      <c r="G12" s="62">
        <v>0</v>
      </c>
      <c r="H12" s="60" t="s">
        <v>180</v>
      </c>
      <c r="I12"/>
    </row>
    <row r="13" spans="1:9" ht="18">
      <c r="A13" s="60" t="s">
        <v>182</v>
      </c>
      <c r="B13" s="60" t="s">
        <v>183</v>
      </c>
      <c r="C13" s="60" t="s">
        <v>104</v>
      </c>
      <c r="D13" s="60" t="s">
        <v>184</v>
      </c>
      <c r="E13" s="60" t="b">
        <v>0</v>
      </c>
      <c r="F13" s="60" t="s">
        <v>185</v>
      </c>
      <c r="G13" s="62">
        <v>0</v>
      </c>
      <c r="H13" s="60" t="s">
        <v>182</v>
      </c>
      <c r="I13"/>
    </row>
    <row r="14" spans="1:9" ht="18">
      <c r="A14" s="60" t="s">
        <v>186</v>
      </c>
      <c r="B14" s="60" t="s">
        <v>187</v>
      </c>
      <c r="C14" s="60" t="s">
        <v>115</v>
      </c>
      <c r="D14" s="60" t="s">
        <v>188</v>
      </c>
      <c r="E14" s="60" t="b">
        <v>0</v>
      </c>
      <c r="F14" s="60" t="s">
        <v>189</v>
      </c>
      <c r="G14" s="62">
        <v>0</v>
      </c>
      <c r="H14" s="60" t="s">
        <v>186</v>
      </c>
      <c r="I14"/>
    </row>
    <row r="15" spans="1:9" ht="18">
      <c r="A15" s="60" t="s">
        <v>122</v>
      </c>
      <c r="B15" s="60" t="s">
        <v>123</v>
      </c>
      <c r="C15" s="60" t="s">
        <v>177</v>
      </c>
      <c r="D15" s="60"/>
      <c r="E15" s="60" t="b">
        <v>0</v>
      </c>
      <c r="F15" s="60" t="s">
        <v>122</v>
      </c>
      <c r="G15" s="62">
        <v>1</v>
      </c>
      <c r="H15" s="60" t="s">
        <v>100</v>
      </c>
      <c r="I15"/>
    </row>
    <row r="16" spans="1:9" ht="18">
      <c r="A16" s="60" t="s">
        <v>124</v>
      </c>
      <c r="B16" s="60" t="s">
        <v>125</v>
      </c>
      <c r="C16" s="60" t="s">
        <v>42</v>
      </c>
      <c r="D16" s="60" t="s">
        <v>126</v>
      </c>
      <c r="E16" s="60" t="b">
        <v>0</v>
      </c>
      <c r="F16" s="60" t="s">
        <v>124</v>
      </c>
      <c r="G16" s="62">
        <v>1</v>
      </c>
      <c r="H16" s="60" t="s">
        <v>191</v>
      </c>
      <c r="I16"/>
    </row>
    <row r="17" spans="1:9" ht="18">
      <c r="A17" s="60" t="s">
        <v>157</v>
      </c>
      <c r="B17" s="60" t="s">
        <v>158</v>
      </c>
      <c r="C17" s="60" t="s">
        <v>41</v>
      </c>
      <c r="D17" s="60" t="s">
        <v>159</v>
      </c>
      <c r="E17" s="60" t="b">
        <v>0</v>
      </c>
      <c r="F17" s="60" t="s">
        <v>127</v>
      </c>
      <c r="G17" s="62">
        <v>1</v>
      </c>
      <c r="H17" s="60" t="s">
        <v>112</v>
      </c>
      <c r="I17"/>
    </row>
    <row r="18" spans="1:9" ht="18">
      <c r="A18" s="60" t="s">
        <v>128</v>
      </c>
      <c r="B18" s="60" t="s">
        <v>129</v>
      </c>
      <c r="C18" s="60" t="s">
        <v>41</v>
      </c>
      <c r="D18" s="60" t="s">
        <v>130</v>
      </c>
      <c r="E18" s="60" t="b">
        <v>0</v>
      </c>
      <c r="F18" s="60" t="s">
        <v>128</v>
      </c>
      <c r="G18" s="62">
        <v>1</v>
      </c>
      <c r="H18" s="60" t="s">
        <v>112</v>
      </c>
      <c r="I18"/>
    </row>
    <row r="19" spans="1:9" ht="18">
      <c r="A19" s="60" t="s">
        <v>131</v>
      </c>
      <c r="B19" s="60" t="s">
        <v>132</v>
      </c>
      <c r="C19" s="60" t="s">
        <v>41</v>
      </c>
      <c r="D19" s="60" t="s">
        <v>133</v>
      </c>
      <c r="E19" s="60" t="b">
        <v>0</v>
      </c>
      <c r="F19" s="60" t="s">
        <v>131</v>
      </c>
      <c r="G19" s="62">
        <v>1</v>
      </c>
      <c r="H19" s="60" t="s">
        <v>119</v>
      </c>
      <c r="I19"/>
    </row>
    <row r="20" spans="1:9" ht="18">
      <c r="A20" s="60" t="s">
        <v>134</v>
      </c>
      <c r="B20" s="60" t="s">
        <v>135</v>
      </c>
      <c r="C20" s="60" t="s">
        <v>41</v>
      </c>
      <c r="D20" s="60" t="s">
        <v>136</v>
      </c>
      <c r="E20" s="60" t="b">
        <v>0</v>
      </c>
      <c r="F20" s="60" t="s">
        <v>134</v>
      </c>
      <c r="G20" s="62">
        <v>1</v>
      </c>
      <c r="H20" s="60" t="s">
        <v>119</v>
      </c>
      <c r="I20"/>
    </row>
    <row r="21" spans="1:9" ht="18">
      <c r="A21" s="60" t="s">
        <v>137</v>
      </c>
      <c r="B21" s="60" t="s">
        <v>138</v>
      </c>
      <c r="C21" s="60" t="s">
        <v>41</v>
      </c>
      <c r="D21" s="60" t="s">
        <v>139</v>
      </c>
      <c r="E21" s="60" t="b">
        <v>0</v>
      </c>
      <c r="F21" s="60" t="s">
        <v>137</v>
      </c>
      <c r="G21" s="62">
        <v>1</v>
      </c>
      <c r="H21" s="60" t="s">
        <v>119</v>
      </c>
      <c r="I21"/>
    </row>
    <row r="22" spans="1:9" ht="18">
      <c r="A22" s="60" t="s">
        <v>140</v>
      </c>
      <c r="B22" s="60" t="s">
        <v>141</v>
      </c>
      <c r="C22" s="60" t="s">
        <v>41</v>
      </c>
      <c r="D22" s="60" t="s">
        <v>142</v>
      </c>
      <c r="E22" s="60" t="b">
        <v>0</v>
      </c>
      <c r="F22" s="60" t="s">
        <v>140</v>
      </c>
      <c r="G22" s="62">
        <v>1</v>
      </c>
      <c r="H22" s="60" t="s">
        <v>119</v>
      </c>
      <c r="I22"/>
    </row>
    <row r="23" spans="1:9" ht="18">
      <c r="A23" s="60" t="s">
        <v>143</v>
      </c>
      <c r="B23" s="60" t="s">
        <v>144</v>
      </c>
      <c r="C23" s="60" t="s">
        <v>41</v>
      </c>
      <c r="D23" s="60" t="s">
        <v>145</v>
      </c>
      <c r="E23" s="60" t="b">
        <v>0</v>
      </c>
      <c r="F23" s="60" t="s">
        <v>143</v>
      </c>
      <c r="G23" s="62">
        <v>1</v>
      </c>
      <c r="H23" s="60" t="s">
        <v>112</v>
      </c>
      <c r="I23"/>
    </row>
    <row r="24" spans="1:9" ht="18">
      <c r="A24" s="60" t="s">
        <v>146</v>
      </c>
      <c r="B24" s="60" t="s">
        <v>147</v>
      </c>
      <c r="C24" s="60" t="s">
        <v>177</v>
      </c>
      <c r="D24" s="60"/>
      <c r="E24" s="60" t="b">
        <v>0</v>
      </c>
      <c r="F24" s="60" t="s">
        <v>146</v>
      </c>
      <c r="G24" s="62">
        <v>1</v>
      </c>
      <c r="H24" s="60" t="s">
        <v>100</v>
      </c>
      <c r="I24"/>
    </row>
    <row r="25" spans="1:9" ht="18">
      <c r="A25" s="61" t="s">
        <v>148</v>
      </c>
      <c r="B25" s="61" t="s">
        <v>149</v>
      </c>
      <c r="C25" s="61" t="s">
        <v>177</v>
      </c>
      <c r="D25" s="61"/>
      <c r="E25" s="61" t="b">
        <v>0</v>
      </c>
      <c r="F25" s="61" t="s">
        <v>148</v>
      </c>
      <c r="G25" s="63">
        <v>1</v>
      </c>
      <c r="H25" s="61" t="s">
        <v>100</v>
      </c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  <row r="316" spans="1:9" ht="18">
      <c r="A316"/>
      <c r="B316"/>
      <c r="C316"/>
      <c r="D316"/>
      <c r="E316"/>
      <c r="F316"/>
      <c r="G316"/>
      <c r="H316"/>
      <c r="I316"/>
    </row>
    <row r="317" spans="1:9" ht="18">
      <c r="A317"/>
      <c r="B317"/>
      <c r="C317"/>
      <c r="D317"/>
      <c r="E317"/>
      <c r="F317"/>
      <c r="G317"/>
      <c r="H317"/>
      <c r="I317"/>
    </row>
    <row r="318" spans="1:9" ht="18">
      <c r="A318"/>
      <c r="B318"/>
      <c r="C318"/>
      <c r="D318"/>
      <c r="E318"/>
      <c r="F318"/>
      <c r="G318"/>
      <c r="H318"/>
      <c r="I318"/>
    </row>
    <row r="319" spans="1:9" ht="18">
      <c r="A319"/>
      <c r="B319"/>
      <c r="C319"/>
      <c r="D319"/>
      <c r="E319"/>
      <c r="F319"/>
      <c r="G319"/>
      <c r="H319"/>
      <c r="I319"/>
    </row>
    <row r="320" spans="1:9" ht="18">
      <c r="A320"/>
      <c r="B320"/>
      <c r="C320"/>
      <c r="D320"/>
      <c r="E320"/>
      <c r="F320"/>
      <c r="G320"/>
      <c r="H320"/>
      <c r="I320"/>
    </row>
    <row r="321" spans="1:9" ht="18">
      <c r="A321"/>
      <c r="B321"/>
      <c r="C321"/>
      <c r="D321"/>
      <c r="E321"/>
      <c r="F321"/>
      <c r="G321"/>
      <c r="H321"/>
      <c r="I321"/>
    </row>
    <row r="322" spans="1:9" ht="18">
      <c r="A322"/>
      <c r="B322"/>
      <c r="C322"/>
      <c r="D322"/>
      <c r="E322"/>
      <c r="F322"/>
      <c r="G322"/>
      <c r="H322"/>
      <c r="I322"/>
    </row>
    <row r="323" spans="1:9" ht="18">
      <c r="A323"/>
      <c r="B323"/>
      <c r="C323"/>
      <c r="D323"/>
      <c r="E323"/>
      <c r="F323"/>
      <c r="G323"/>
      <c r="H323"/>
      <c r="I323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150</v>
      </c>
      <c r="D2" s="22" t="s">
        <v>150</v>
      </c>
      <c r="E2" s="22" t="s">
        <v>192</v>
      </c>
      <c r="F2" s="87">
        <f ca="1">受注!ERRORS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152</v>
      </c>
      <c r="D3" s="24" t="s">
        <v>152</v>
      </c>
      <c r="E3" s="24" t="s">
        <v>193</v>
      </c>
      <c r="F3" s="88">
        <f ca="1">受注明細!ERRORS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155</v>
      </c>
      <c r="D4" s="24" t="s">
        <v>155</v>
      </c>
      <c r="E4" s="24" t="s">
        <v>162</v>
      </c>
      <c r="F4" s="88">
        <f ca="1">商品!ERRORS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 t="s">
        <v>179</v>
      </c>
      <c r="D5" s="24" t="s">
        <v>179</v>
      </c>
      <c r="E5" s="24" t="s">
        <v>194</v>
      </c>
      <c r="F5" s="88">
        <f ca="1">担当者!ERRORS</f>
        <v>0</v>
      </c>
      <c r="H5" s="28" t="b">
        <f t="shared" si="2"/>
        <v>1</v>
      </c>
      <c r="I5" s="28" t="b">
        <f t="shared" si="3"/>
        <v>1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93" priority="4" operator="equal">
      <formula>1</formula>
    </cfRule>
  </conditionalFormatting>
  <conditionalFormatting sqref="D2:E101">
    <cfRule type="expression" dxfId="192" priority="3">
      <formula>$J2</formula>
    </cfRule>
  </conditionalFormatting>
  <conditionalFormatting sqref="F2:F101">
    <cfRule type="cellIs" dxfId="191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受注'!A1" display="受注" xr:uid="{84C7AEBC-C74C-46AE-86AE-391B5BDE9032}"/>
    <hyperlink ref="C3" location="'受注明細'!A1" display="受注明細" xr:uid="{E4C824E9-62BD-4A86-BFEB-564B611ED098}"/>
    <hyperlink ref="C4" location="'商品'!A1" display="商品" xr:uid="{A9486FC3-6861-4164-9CED-E161D7946296}"/>
    <hyperlink ref="C5" location="'担当者'!A1" display="担当者" xr:uid="{79A276CB-1886-44FA-9143-7397ACFD1FF2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移行元システム</v>
      </c>
      <c r="C1" s="20" t="str">
        <f>SCHEMA_EN</f>
        <v>source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53</v>
      </c>
      <c r="F2" s="86" t="s">
        <v>54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99</v>
      </c>
      <c r="AI3" s="7" t="s">
        <v>57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56</v>
      </c>
      <c r="L6" s="112" t="s">
        <v>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24</v>
      </c>
      <c r="AJ6" s="66" t="s">
        <v>24</v>
      </c>
      <c r="AK6" s="95" t="s">
        <v>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89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50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51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1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90" priority="147">
      <formula>ISERROR(B2)</formula>
    </cfRule>
  </conditionalFormatting>
  <conditionalFormatting sqref="B6:B105">
    <cfRule type="expression" dxfId="189" priority="144">
      <formula>COUNTIF(FIELD_NAME,B6)&gt;1</formula>
    </cfRule>
    <cfRule type="expression" dxfId="188" priority="145">
      <formula>AND($B6&lt;&gt;"",ISNA(MATCH($B6,項目リスト,0)))</formula>
    </cfRule>
  </conditionalFormatting>
  <conditionalFormatting sqref="B6">
    <cfRule type="expression" dxfId="187" priority="139">
      <formula>$AI$6="N/A"</formula>
    </cfRule>
  </conditionalFormatting>
  <conditionalFormatting sqref="D1">
    <cfRule type="cellIs" dxfId="186" priority="128" operator="greaterThan">
      <formula>0</formula>
    </cfRule>
  </conditionalFormatting>
  <conditionalFormatting sqref="L8:P8">
    <cfRule type="expression" dxfId="185" priority="159">
      <formula>Y8</formula>
    </cfRule>
    <cfRule type="expression" dxfId="184" priority="160">
      <formula>Y7</formula>
    </cfRule>
  </conditionalFormatting>
  <conditionalFormatting sqref="L13:P22">
    <cfRule type="expression" dxfId="183" priority="91">
      <formula>Y13</formula>
    </cfRule>
    <cfRule type="expression" dxfId="182" priority="92">
      <formula>$AD13</formula>
    </cfRule>
  </conditionalFormatting>
  <conditionalFormatting sqref="L8">
    <cfRule type="expression" dxfId="181" priority="158">
      <formula>$AG$7</formula>
    </cfRule>
  </conditionalFormatting>
  <conditionalFormatting sqref="L55:P64">
    <cfRule type="expression" dxfId="180" priority="24">
      <formula>Y55</formula>
    </cfRule>
    <cfRule type="expression" dxfId="179" priority="25">
      <formula>$AD55</formula>
    </cfRule>
  </conditionalFormatting>
  <conditionalFormatting sqref="L43:P44">
    <cfRule type="expression" dxfId="178" priority="15">
      <formula>Y42</formula>
    </cfRule>
  </conditionalFormatting>
  <conditionalFormatting sqref="L43:P43">
    <cfRule type="expression" dxfId="177" priority="13">
      <formula>$AD42</formula>
    </cfRule>
    <cfRule type="expression" dxfId="176" priority="162">
      <formula>Y41</formula>
    </cfRule>
  </conditionalFormatting>
  <conditionalFormatting sqref="L43">
    <cfRule type="expression" dxfId="175" priority="14">
      <formula>$AD41</formula>
    </cfRule>
  </conditionalFormatting>
  <conditionalFormatting sqref="L28:P29 L33:P34 L38:P39 L48:P49 L43:P44">
    <cfRule type="expression" dxfId="174" priority="165">
      <formula>Y27</formula>
    </cfRule>
  </conditionalFormatting>
  <conditionalFormatting sqref="L29:P29 L34:P34 L39:P39 L49:P49">
    <cfRule type="expression" dxfId="173" priority="168">
      <formula>$AD27</formula>
    </cfRule>
    <cfRule type="expression" dxfId="172" priority="169">
      <formula>Y26</formula>
    </cfRule>
  </conditionalFormatting>
  <conditionalFormatting sqref="L28 L33 L38 L48 L43">
    <cfRule type="expression" dxfId="171" priority="170">
      <formula>$AD26</formula>
    </cfRule>
  </conditionalFormatting>
  <conditionalFormatting sqref="L44:P44">
    <cfRule type="expression" dxfId="170" priority="173">
      <formula>$AD42</formula>
    </cfRule>
    <cfRule type="expression" dxfId="169" priority="174">
      <formula>Y41</formula>
    </cfRule>
  </conditionalFormatting>
  <conditionalFormatting sqref="L28:P28 L33:P33 L38:P38 L43:P43 L48:P48">
    <cfRule type="expression" dxfId="168" priority="12">
      <formula>$AD27</formula>
    </cfRule>
    <cfRule type="expression" dxfId="167" priority="161">
      <formula>Y26</formula>
    </cfRule>
  </conditionalFormatting>
  <conditionalFormatting sqref="K56">
    <cfRule type="expression" dxfId="166" priority="10">
      <formula>X56</formula>
    </cfRule>
    <cfRule type="expression" dxfId="165" priority="11">
      <formula>$AD56</formula>
    </cfRule>
  </conditionalFormatting>
  <conditionalFormatting sqref="K58">
    <cfRule type="expression" dxfId="164" priority="8">
      <formula>X58</formula>
    </cfRule>
    <cfRule type="expression" dxfId="163" priority="9">
      <formula>$AD58</formula>
    </cfRule>
  </conditionalFormatting>
  <conditionalFormatting sqref="K60">
    <cfRule type="expression" dxfId="162" priority="6">
      <formula>X60</formula>
    </cfRule>
    <cfRule type="expression" dxfId="161" priority="7">
      <formula>$AD60</formula>
    </cfRule>
  </conditionalFormatting>
  <conditionalFormatting sqref="K62">
    <cfRule type="expression" dxfId="160" priority="4">
      <formula>X62</formula>
    </cfRule>
    <cfRule type="expression" dxfId="159" priority="5">
      <formula>$AD62</formula>
    </cfRule>
  </conditionalFormatting>
  <conditionalFormatting sqref="K64">
    <cfRule type="expression" dxfId="158" priority="2">
      <formula>X64</formula>
    </cfRule>
    <cfRule type="expression" dxfId="157" priority="3">
      <formula>$AD64</formula>
    </cfRule>
  </conditionalFormatting>
  <conditionalFormatting sqref="L29:P29 L34:P34 L39:P39 L44:P44 L49:P49">
    <cfRule type="expression" dxfId="156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FBC2A-3DA0-4AA3-B409-63415A0932FA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 activeCell="A7" sqref="A7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移行元システム</v>
      </c>
      <c r="C1" s="20" t="str">
        <f>SCHEMA_EN</f>
        <v>source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1">
        <v>1</v>
      </c>
      <c r="E2" s="85" t="s">
        <v>53</v>
      </c>
      <c r="F2" s="86" t="s">
        <v>160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4</v>
      </c>
      <c r="AJ5" s="66">
        <f>COUNTA(AJ6:AJ105)</f>
        <v>3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102</v>
      </c>
      <c r="C6" s="34" t="str">
        <f ca="1">IFERROR(VLOOKUP(B6,項目!DATA_AREA,2,FALSE),"")</f>
        <v>order_no</v>
      </c>
      <c r="D6" s="34" t="str">
        <f ca="1">IFERROR(VLOOKUP(B6,項目!DATA_AREA,3,FALSE),"")</f>
        <v>serial</v>
      </c>
      <c r="E6" s="47">
        <v>1</v>
      </c>
      <c r="F6" s="116" t="s">
        <v>161</v>
      </c>
      <c r="G6" s="37">
        <f ca="1">IFERROR(VLOOKUP(B6,項目!DATA_AREA,4,FALSE),"")</f>
        <v>0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151</v>
      </c>
      <c r="AJ6" s="66" t="s">
        <v>151</v>
      </c>
      <c r="AK6" s="95" t="s">
        <v>153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122</v>
      </c>
      <c r="C7" s="35" t="str">
        <f ca="1">IFERROR(VLOOKUP(B7,項目!DATA_AREA,2,FALSE),"")</f>
        <v>order_date</v>
      </c>
      <c r="D7" s="35" t="str">
        <f ca="1">IFERROR(VLOOKUP(B7,項目!DATA_AREA,3,FALSE),"")</f>
        <v>varchar(8)</v>
      </c>
      <c r="E7" s="48">
        <v>1</v>
      </c>
      <c r="F7" s="117"/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122</v>
      </c>
      <c r="AJ7" s="66" t="s">
        <v>122</v>
      </c>
      <c r="AK7" s="95" t="s">
        <v>155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124</v>
      </c>
      <c r="C8" s="35" t="str">
        <f ca="1">IFERROR(VLOOKUP(B8,項目!DATA_AREA,2,FALSE),"")</f>
        <v>order_pic</v>
      </c>
      <c r="D8" s="35" t="str">
        <f ca="1">IFERROR(VLOOKUP(B8,項目!DATA_AREA,3,FALSE),"")</f>
        <v>varchar(30)</v>
      </c>
      <c r="E8" s="48"/>
      <c r="F8" s="117" t="s">
        <v>161</v>
      </c>
      <c r="G8" s="38" t="str">
        <f ca="1">IFERROR(VLOOKUP(B8,項目!DATA_AREA,4,FALSE),"")</f>
        <v>(LENGTH(order_pic) &gt;= 3)</v>
      </c>
      <c r="H8" s="12" t="b">
        <f ca="1">IFERROR(VLOOKUP(B8,項目!DATA_AREA,5,FALSE),"")</f>
        <v>0</v>
      </c>
      <c r="K8" s="67" t="s">
        <v>13</v>
      </c>
      <c r="L8" s="68" t="s">
        <v>102</v>
      </c>
      <c r="M8" s="69"/>
      <c r="N8" s="69"/>
      <c r="O8" s="69"/>
      <c r="P8" s="70"/>
      <c r="R8" s="83" t="str">
        <f>_xlfn.CONCAT(L8:P8)</f>
        <v>受注番号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 t="s">
        <v>124</v>
      </c>
      <c r="AJ8" s="66" t="s">
        <v>108</v>
      </c>
      <c r="AK8" s="95" t="s">
        <v>179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108</v>
      </c>
      <c r="C9" s="35" t="str">
        <f ca="1">IFERROR(VLOOKUP(B9,項目!DATA_AREA,2,FALSE),"")</f>
        <v>customer_name</v>
      </c>
      <c r="D9" s="35" t="str">
        <f ca="1">IFERROR(VLOOKUP(B9,項目!DATA_AREA,3,FALSE),"")</f>
        <v>varchar(50)</v>
      </c>
      <c r="E9" s="48">
        <v>1</v>
      </c>
      <c r="F9" s="117" t="s">
        <v>161</v>
      </c>
      <c r="G9" s="38">
        <f ca="1">IFERROR(VLOOKUP(B9,項目!DATA_AREA,4,FALSE),"")</f>
        <v>0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 t="s">
        <v>108</v>
      </c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55" priority="24">
      <formula>ISERROR(B2)</formula>
    </cfRule>
  </conditionalFormatting>
  <conditionalFormatting sqref="B6:B105">
    <cfRule type="expression" dxfId="154" priority="22">
      <formula>COUNTIF(FIELD_NAME,B6)&gt;1</formula>
    </cfRule>
    <cfRule type="expression" dxfId="153" priority="23">
      <formula>AND($B6&lt;&gt;"",ISNA(MATCH($B6,項目リスト,0)))</formula>
    </cfRule>
  </conditionalFormatting>
  <conditionalFormatting sqref="B6">
    <cfRule type="expression" dxfId="152" priority="21">
      <formula>$AI$6="N/A"</formula>
    </cfRule>
  </conditionalFormatting>
  <conditionalFormatting sqref="D1">
    <cfRule type="cellIs" dxfId="151" priority="20" operator="greaterThan">
      <formula>0</formula>
    </cfRule>
  </conditionalFormatting>
  <conditionalFormatting sqref="L8:P8">
    <cfRule type="expression" dxfId="150" priority="26">
      <formula>Y8</formula>
    </cfRule>
    <cfRule type="expression" dxfId="149" priority="27">
      <formula>Y7</formula>
    </cfRule>
  </conditionalFormatting>
  <conditionalFormatting sqref="L13:P22">
    <cfRule type="expression" dxfId="148" priority="18">
      <formula>Y13</formula>
    </cfRule>
    <cfRule type="expression" dxfId="147" priority="19">
      <formula>$AD13</formula>
    </cfRule>
  </conditionalFormatting>
  <conditionalFormatting sqref="L8">
    <cfRule type="expression" dxfId="146" priority="25">
      <formula>$AG$7</formula>
    </cfRule>
  </conditionalFormatting>
  <conditionalFormatting sqref="L55:P64">
    <cfRule type="expression" dxfId="145" priority="16">
      <formula>Y55</formula>
    </cfRule>
    <cfRule type="expression" dxfId="144" priority="17">
      <formula>$AD55</formula>
    </cfRule>
  </conditionalFormatting>
  <conditionalFormatting sqref="L43:P44">
    <cfRule type="expression" dxfId="143" priority="15">
      <formula>Y42</formula>
    </cfRule>
  </conditionalFormatting>
  <conditionalFormatting sqref="L43:P43">
    <cfRule type="expression" dxfId="142" priority="13">
      <formula>$AD42</formula>
    </cfRule>
    <cfRule type="expression" dxfId="141" priority="29">
      <formula>Y41</formula>
    </cfRule>
  </conditionalFormatting>
  <conditionalFormatting sqref="L43">
    <cfRule type="expression" dxfId="140" priority="14">
      <formula>$AD41</formula>
    </cfRule>
  </conditionalFormatting>
  <conditionalFormatting sqref="L28:P29 L33:P34 L38:P39 L48:P49 L43:P44">
    <cfRule type="expression" dxfId="139" priority="30">
      <formula>Y27</formula>
    </cfRule>
  </conditionalFormatting>
  <conditionalFormatting sqref="L29:P29 L34:P34 L39:P39 L49:P49">
    <cfRule type="expression" dxfId="138" priority="31">
      <formula>$AD27</formula>
    </cfRule>
    <cfRule type="expression" dxfId="137" priority="32">
      <formula>Y26</formula>
    </cfRule>
  </conditionalFormatting>
  <conditionalFormatting sqref="L28 L33 L38 L48 L43">
    <cfRule type="expression" dxfId="136" priority="33">
      <formula>$AD26</formula>
    </cfRule>
  </conditionalFormatting>
  <conditionalFormatting sqref="L44:P44">
    <cfRule type="expression" dxfId="135" priority="34">
      <formula>$AD42</formula>
    </cfRule>
    <cfRule type="expression" dxfId="134" priority="35">
      <formula>Y41</formula>
    </cfRule>
  </conditionalFormatting>
  <conditionalFormatting sqref="L28:P28 L33:P33 L38:P38 L43:P43 L48:P48">
    <cfRule type="expression" dxfId="133" priority="12">
      <formula>$AD27</formula>
    </cfRule>
    <cfRule type="expression" dxfId="132" priority="28">
      <formula>Y26</formula>
    </cfRule>
  </conditionalFormatting>
  <conditionalFormatting sqref="K56">
    <cfRule type="expression" dxfId="131" priority="10">
      <formula>X56</formula>
    </cfRule>
    <cfRule type="expression" dxfId="130" priority="11">
      <formula>$AD56</formula>
    </cfRule>
  </conditionalFormatting>
  <conditionalFormatting sqref="K58">
    <cfRule type="expression" dxfId="129" priority="8">
      <formula>X58</formula>
    </cfRule>
    <cfRule type="expression" dxfId="128" priority="9">
      <formula>$AD58</formula>
    </cfRule>
  </conditionalFormatting>
  <conditionalFormatting sqref="K60">
    <cfRule type="expression" dxfId="127" priority="6">
      <formula>X60</formula>
    </cfRule>
    <cfRule type="expression" dxfId="126" priority="7">
      <formula>$AD60</formula>
    </cfRule>
  </conditionalFormatting>
  <conditionalFormatting sqref="K62">
    <cfRule type="expression" dxfId="125" priority="4">
      <formula>X62</formula>
    </cfRule>
    <cfRule type="expression" dxfId="124" priority="5">
      <formula>$AD62</formula>
    </cfRule>
  </conditionalFormatting>
  <conditionalFormatting sqref="K64">
    <cfRule type="expression" dxfId="123" priority="2">
      <formula>X64</formula>
    </cfRule>
    <cfRule type="expression" dxfId="122" priority="3">
      <formula>$AD64</formula>
    </cfRule>
  </conditionalFormatting>
  <conditionalFormatting sqref="L29:P29 L34:P34 L39:P39 L44:P44 L49:P49">
    <cfRule type="expression" dxfId="121" priority="1">
      <formula>$AD28</formula>
    </cfRule>
  </conditionalFormatting>
  <conditionalFormatting sqref="E6">
    <cfRule type="expression" dxfId="120" priority="36" stopIfTrue="1">
      <formula>$V6</formula>
    </cfRule>
  </conditionalFormatting>
  <conditionalFormatting sqref="E7">
    <cfRule type="expression" dxfId="119" priority="37" stopIfTrue="1">
      <formula>$V7</formula>
    </cfRule>
  </conditionalFormatting>
  <conditionalFormatting sqref="E8">
    <cfRule type="expression" dxfId="118" priority="38" stopIfTrue="1">
      <formula>$V8</formula>
    </cfRule>
  </conditionalFormatting>
  <conditionalFormatting sqref="E9">
    <cfRule type="expression" dxfId="117" priority="39" stopIfTrue="1">
      <formula>$V9</formula>
    </cfRule>
  </conditionalFormatting>
  <dataValidations count="16">
    <dataValidation imeMode="off" allowBlank="1" showInputMessage="1" showErrorMessage="1" sqref="D5:F5 C2 F6:F105" xr:uid="{5CF4DDF4-E235-4507-A620-842BB951F0CE}"/>
    <dataValidation type="whole" imeMode="off" operator="equal" allowBlank="1" showInputMessage="1" showErrorMessage="1" error="DESC指定の場合に‐1を入力" sqref="L56:P56 L58:P58 L60:P60 L62:P62 L64:P64" xr:uid="{D950E404-0339-4153-896E-DEF15F2CF138}">
      <formula1>-1</formula1>
    </dataValidation>
    <dataValidation type="whole" imeMode="off" operator="equal" allowBlank="1" showInputMessage="1" showErrorMessage="1" error="Unique indexの場合に1を入力" sqref="K56 K58 K60 K62 K64" xr:uid="{A02F5772-61CF-41AE-A472-C8AA5B9AB9B7}">
      <formula1>1</formula1>
    </dataValidation>
    <dataValidation type="list" allowBlank="1" showInputMessage="1" showErrorMessage="1" sqref="N26 P26 N31 P31 N36 P36 N41 P41 N46 P46" xr:uid="{868F6795-B55B-43EF-A525-834F81B2974B}">
      <formula1>FK_OPTION</formula1>
    </dataValidation>
    <dataValidation type="list" allowBlank="1" showInputMessage="1" showErrorMessage="1" sqref="L49:P49" xr:uid="{E6473B91-BC0E-44E3-9849-B1B18145A4F3}">
      <formula1>FK_FIELD_5</formula1>
    </dataValidation>
    <dataValidation type="list" allowBlank="1" showInputMessage="1" showErrorMessage="1" sqref="L44:P44" xr:uid="{9D6AFA65-2D8B-40B9-9C6E-CDD528F3F50C}">
      <formula1>FK_FIELD_4</formula1>
    </dataValidation>
    <dataValidation type="list" allowBlank="1" showInputMessage="1" showErrorMessage="1" sqref="L39:P39" xr:uid="{732C9B84-1037-4B92-BC41-BC815F09F5BB}">
      <formula1>FK_FIELD_3</formula1>
    </dataValidation>
    <dataValidation type="list" allowBlank="1" showInputMessage="1" showErrorMessage="1" sqref="L34:P34" xr:uid="{FF740AEF-8554-46BD-8099-F25A160A4604}">
      <formula1>FK_FIELD_2</formula1>
    </dataValidation>
    <dataValidation type="list" allowBlank="1" showInputMessage="1" showErrorMessage="1" sqref="L29:P29" xr:uid="{56D1823E-BC7C-4686-A86F-50B8C702D7DB}">
      <formula1>FK_FIELD_1</formula1>
    </dataValidation>
    <dataValidation type="list" allowBlank="1" showInputMessage="1" showErrorMessage="1" sqref="L26 L31 L36 L41 L46" xr:uid="{0689768F-2804-4AD9-A205-7C6B6CEC396A}">
      <formula1>TABLEリスト</formula1>
    </dataValidation>
    <dataValidation type="list" allowBlank="1" showInputMessage="1" showErrorMessage="1" sqref="F2" xr:uid="{72D6B368-51E8-4BE8-83DF-4471C1AA9239}">
      <formula1>"○,-"</formula1>
    </dataValidation>
    <dataValidation type="list" allowBlank="1" showInputMessage="1" showErrorMessage="1" sqref="L13:P22 L43:P43 L48:P48 L33:P33 L38:P38 L28:P28 L55:P55 L57:P57 L59:P59 L61:P61 L63:P63" xr:uid="{6CD76C5F-FAEB-4DF5-8499-2A7F398F79DD}">
      <formula1>FIELDリスト</formula1>
    </dataValidation>
    <dataValidation type="list" allowBlank="1" showInputMessage="1" showErrorMessage="1" sqref="L8:P8" xr:uid="{3BFD154E-1669-4263-AB2A-758719966E9D}">
      <formula1>FIELDリストNN</formula1>
    </dataValidation>
    <dataValidation type="whole" imeMode="off" operator="equal" allowBlank="1" showInputMessage="1" showErrorMessage="1" error="NotNullの場合は[1]を入力する。" sqref="E6:E105" xr:uid="{04625840-48AB-4B3C-95AA-ECDB833769D4}">
      <formula1>1</formula1>
    </dataValidation>
    <dataValidation type="list" allowBlank="1" showInputMessage="1" showErrorMessage="1" sqref="B6:B105" xr:uid="{34F36B1F-542E-4942-9F52-35F416093E11}">
      <formula1>項目リスト</formula1>
    </dataValidation>
    <dataValidation imeMode="on" allowBlank="1" showInputMessage="1" showErrorMessage="1" sqref="K12 A5 A1:A2 E2 K7 K54 G6:H105" xr:uid="{9D1C4776-324C-4711-BDE8-BB02C820E84E}"/>
  </dataValidations>
  <hyperlinks>
    <hyperlink ref="E1" location="一覧!R1C1" display="一覧へ" xr:uid="{50190F47-3251-4FDF-A204-364ED8DCDFE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3DD2-A367-41EE-A75D-67A988420961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移行元システム</v>
      </c>
      <c r="C1" s="20" t="str">
        <f>SCHEMA_EN</f>
        <v>source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1">
        <v>2</v>
      </c>
      <c r="E2" s="85" t="s">
        <v>53</v>
      </c>
      <c r="F2" s="86" t="s">
        <v>160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8</v>
      </c>
      <c r="AJ5" s="66">
        <f>COUNTA(AJ6:AJ105)</f>
        <v>4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102</v>
      </c>
      <c r="C6" s="34" t="str">
        <f ca="1">IFERROR(VLOOKUP(B6,項目!DATA_AREA,2,FALSE),"")</f>
        <v>order_no</v>
      </c>
      <c r="D6" s="34" t="str">
        <f ca="1">IFERROR(VLOOKUP(B6,項目!DATA_AREA,3,FALSE),"")</f>
        <v>serial</v>
      </c>
      <c r="E6" s="47">
        <v>1</v>
      </c>
      <c r="F6" s="116" t="s">
        <v>161</v>
      </c>
      <c r="G6" s="37">
        <f ca="1">IFERROR(VLOOKUP(B6,項目!DATA_AREA,4,FALSE),"")</f>
        <v>0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151</v>
      </c>
      <c r="AJ6" s="66" t="s">
        <v>151</v>
      </c>
      <c r="AK6" s="95" t="s">
        <v>154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167</v>
      </c>
      <c r="C7" s="35" t="str">
        <f ca="1">IFERROR(VLOOKUP(B7,項目!DATA_AREA,2,FALSE),"")</f>
        <v>order_detail_no</v>
      </c>
      <c r="D7" s="35" t="str">
        <f ca="1">IFERROR(VLOOKUP(B7,項目!DATA_AREA,3,FALSE),"")</f>
        <v>serial</v>
      </c>
      <c r="E7" s="48">
        <v>1</v>
      </c>
      <c r="F7" s="117" t="s">
        <v>161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167</v>
      </c>
      <c r="AJ7" s="66" t="s">
        <v>167</v>
      </c>
      <c r="AK7" s="95" t="s">
        <v>155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116</v>
      </c>
      <c r="C8" s="35" t="str">
        <f ca="1">IFERROR(VLOOKUP(B8,項目!DATA_AREA,2,FALSE),"")</f>
        <v>product_name</v>
      </c>
      <c r="D8" s="35" t="str">
        <f ca="1">IFERROR(VLOOKUP(B8,項目!DATA_AREA,3,FALSE),"")</f>
        <v>varchar(30)</v>
      </c>
      <c r="E8" s="48"/>
      <c r="F8" s="117" t="s">
        <v>161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13</v>
      </c>
      <c r="L8" s="68" t="s">
        <v>102</v>
      </c>
      <c r="M8" s="69" t="s">
        <v>167</v>
      </c>
      <c r="N8" s="69"/>
      <c r="O8" s="69"/>
      <c r="P8" s="70"/>
      <c r="R8" s="83" t="str">
        <f>_xlfn.CONCAT(L8:P8)</f>
        <v>受注番号受注明細番号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 t="s">
        <v>116</v>
      </c>
      <c r="AJ8" s="66" t="s">
        <v>143</v>
      </c>
      <c r="AK8" s="95" t="s">
        <v>179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131</v>
      </c>
      <c r="C9" s="35" t="str">
        <f ca="1">IFERROR(VLOOKUP(B9,項目!DATA_AREA,2,FALSE),"")</f>
        <v>receiving_quantity</v>
      </c>
      <c r="D9" s="35" t="str">
        <f ca="1">IFERROR(VLOOKUP(B9,項目!DATA_AREA,3,FALSE),"")</f>
        <v>integer</v>
      </c>
      <c r="E9" s="48"/>
      <c r="F9" s="117" t="s">
        <v>161</v>
      </c>
      <c r="G9" s="38" t="str">
        <f ca="1">IFERROR(VLOOKUP(B9,項目!DATA_AREA,4,FALSE),"")</f>
        <v>(0 &lt;= receiving_quantity AND receiving_quantity &lt;= 1000)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 t="s">
        <v>131</v>
      </c>
      <c r="AJ9" s="66" t="s">
        <v>128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170</v>
      </c>
      <c r="C10" s="35" t="str">
        <f ca="1">IFERROR(VLOOKUP(B10,項目!DATA_AREA,2,FALSE),"")</f>
        <v>shipping_flag</v>
      </c>
      <c r="D10" s="35" t="str">
        <f ca="1">IFERROR(VLOOKUP(B10,項目!DATA_AREA,3,FALSE),"")</f>
        <v>boolean</v>
      </c>
      <c r="E10" s="48"/>
      <c r="F10" s="117" t="s">
        <v>161</v>
      </c>
      <c r="G10" s="38">
        <f ca="1">IFERROR(VLOOKUP(B10,項目!DATA_AREA,4,FALSE),"")</f>
        <v>0</v>
      </c>
      <c r="H10" s="12" t="b">
        <f ca="1">IFERROR(VLOOKUP(B10,項目!DATA_AREA,5,FALSE),"")</f>
        <v>1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 t="s">
        <v>170</v>
      </c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174</v>
      </c>
      <c r="C11" s="35" t="str">
        <f ca="1">IFERROR(VLOOKUP(B11,項目!DATA_AREA,2,FALSE),"")</f>
        <v>canceled_flag</v>
      </c>
      <c r="D11" s="35" t="str">
        <f ca="1">IFERROR(VLOOKUP(B11,項目!DATA_AREA,3,FALSE),"")</f>
        <v>boolean</v>
      </c>
      <c r="E11" s="48"/>
      <c r="F11" s="117" t="s">
        <v>161</v>
      </c>
      <c r="G11" s="38">
        <f ca="1">IFERROR(VLOOKUP(B11,項目!DATA_AREA,4,FALSE),"")</f>
        <v>0</v>
      </c>
      <c r="H11" s="12" t="b">
        <f ca="1">IFERROR(VLOOKUP(B11,項目!DATA_AREA,5,FALSE),"")</f>
        <v>1</v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 t="s">
        <v>174</v>
      </c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 t="s">
        <v>143</v>
      </c>
      <c r="C12" s="35" t="str">
        <f ca="1">IFERROR(VLOOKUP(B12,項目!DATA_AREA,2,FALSE),"")</f>
        <v>sellling_price</v>
      </c>
      <c r="D12" s="35" t="str">
        <f ca="1">IFERROR(VLOOKUP(B12,項目!DATA_AREA,3,FALSE),"")</f>
        <v>integer</v>
      </c>
      <c r="E12" s="48">
        <v>1</v>
      </c>
      <c r="F12" s="117" t="s">
        <v>161</v>
      </c>
      <c r="G12" s="38" t="str">
        <f ca="1">IFERROR(VLOOKUP(B12,項目!DATA_AREA,4,FALSE),"")</f>
        <v>(0 &lt;= sellling_price AND sellling_price &lt;= 9999999)</v>
      </c>
      <c r="H12" s="12" t="b">
        <f ca="1">IFERROR(VLOOKUP(B12,項目!DATA_AREA,5,FALSE),"")</f>
        <v>0</v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 t="s">
        <v>143</v>
      </c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 t="s">
        <v>128</v>
      </c>
      <c r="C13" s="35" t="str">
        <f ca="1">IFERROR(VLOOKUP(B13,項目!DATA_AREA,2,FALSE),"")</f>
        <v>cost_price</v>
      </c>
      <c r="D13" s="35" t="str">
        <f ca="1">IFERROR(VLOOKUP(B13,項目!DATA_AREA,3,FALSE),"")</f>
        <v>integer</v>
      </c>
      <c r="E13" s="48">
        <v>1</v>
      </c>
      <c r="F13" s="117" t="s">
        <v>161</v>
      </c>
      <c r="G13" s="38" t="str">
        <f ca="1">IFERROR(VLOOKUP(B13,項目!DATA_AREA,4,FALSE),"")</f>
        <v>(0 &lt;= cost_price AND cost_price &lt;= 9999999)</v>
      </c>
      <c r="H13" s="12" t="b">
        <f ca="1">IFERROR(VLOOKUP(B13,項目!DATA_AREA,5,FALSE),"")</f>
        <v>0</v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 t="s">
        <v>128</v>
      </c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16" priority="24">
      <formula>ISERROR(B2)</formula>
    </cfRule>
  </conditionalFormatting>
  <conditionalFormatting sqref="B6:B105">
    <cfRule type="expression" dxfId="115" priority="22">
      <formula>COUNTIF(FIELD_NAME,B6)&gt;1</formula>
    </cfRule>
    <cfRule type="expression" dxfId="114" priority="23">
      <formula>AND($B6&lt;&gt;"",ISNA(MATCH($B6,項目リスト,0)))</formula>
    </cfRule>
  </conditionalFormatting>
  <conditionalFormatting sqref="B6">
    <cfRule type="expression" dxfId="113" priority="21">
      <formula>$AI$6="N/A"</formula>
    </cfRule>
  </conditionalFormatting>
  <conditionalFormatting sqref="D1">
    <cfRule type="cellIs" dxfId="112" priority="20" operator="greaterThan">
      <formula>0</formula>
    </cfRule>
  </conditionalFormatting>
  <conditionalFormatting sqref="L8:P8">
    <cfRule type="expression" dxfId="111" priority="26">
      <formula>Y8</formula>
    </cfRule>
    <cfRule type="expression" dxfId="110" priority="27">
      <formula>Y7</formula>
    </cfRule>
  </conditionalFormatting>
  <conditionalFormatting sqref="L13:P22">
    <cfRule type="expression" dxfId="109" priority="18">
      <formula>Y13</formula>
    </cfRule>
    <cfRule type="expression" dxfId="108" priority="19">
      <formula>$AD13</formula>
    </cfRule>
  </conditionalFormatting>
  <conditionalFormatting sqref="L8">
    <cfRule type="expression" dxfId="107" priority="25">
      <formula>$AG$7</formula>
    </cfRule>
  </conditionalFormatting>
  <conditionalFormatting sqref="L55:P64">
    <cfRule type="expression" dxfId="106" priority="16">
      <formula>Y55</formula>
    </cfRule>
    <cfRule type="expression" dxfId="105" priority="17">
      <formula>$AD55</formula>
    </cfRule>
  </conditionalFormatting>
  <conditionalFormatting sqref="L43:P44">
    <cfRule type="expression" dxfId="104" priority="15">
      <formula>Y42</formula>
    </cfRule>
  </conditionalFormatting>
  <conditionalFormatting sqref="L43:P43">
    <cfRule type="expression" dxfId="103" priority="13">
      <formula>$AD42</formula>
    </cfRule>
    <cfRule type="expression" dxfId="102" priority="29">
      <formula>Y41</formula>
    </cfRule>
  </conditionalFormatting>
  <conditionalFormatting sqref="L43">
    <cfRule type="expression" dxfId="101" priority="14">
      <formula>$AD41</formula>
    </cfRule>
  </conditionalFormatting>
  <conditionalFormatting sqref="L28:P29 L33:P34 L38:P39 L48:P49 L43:P44">
    <cfRule type="expression" dxfId="100" priority="30">
      <formula>Y27</formula>
    </cfRule>
  </conditionalFormatting>
  <conditionalFormatting sqref="L29:P29 L34:P34 L39:P39 L49:P49">
    <cfRule type="expression" dxfId="99" priority="31">
      <formula>$AD27</formula>
    </cfRule>
    <cfRule type="expression" dxfId="98" priority="32">
      <formula>Y26</formula>
    </cfRule>
  </conditionalFormatting>
  <conditionalFormatting sqref="L28 L33 L38 L48 L43">
    <cfRule type="expression" dxfId="97" priority="33">
      <formula>$AD26</formula>
    </cfRule>
  </conditionalFormatting>
  <conditionalFormatting sqref="L44:P44">
    <cfRule type="expression" dxfId="96" priority="34">
      <formula>$AD42</formula>
    </cfRule>
    <cfRule type="expression" dxfId="95" priority="35">
      <formula>Y41</formula>
    </cfRule>
  </conditionalFormatting>
  <conditionalFormatting sqref="L28:P28 L33:P33 L38:P38 L43:P43 L48:P48">
    <cfRule type="expression" dxfId="94" priority="12">
      <formula>$AD27</formula>
    </cfRule>
    <cfRule type="expression" dxfId="93" priority="28">
      <formula>Y26</formula>
    </cfRule>
  </conditionalFormatting>
  <conditionalFormatting sqref="K56">
    <cfRule type="expression" dxfId="92" priority="10">
      <formula>X56</formula>
    </cfRule>
    <cfRule type="expression" dxfId="91" priority="11">
      <formula>$AD56</formula>
    </cfRule>
  </conditionalFormatting>
  <conditionalFormatting sqref="K58">
    <cfRule type="expression" dxfId="90" priority="8">
      <formula>X58</formula>
    </cfRule>
    <cfRule type="expression" dxfId="89" priority="9">
      <formula>$AD58</formula>
    </cfRule>
  </conditionalFormatting>
  <conditionalFormatting sqref="K60">
    <cfRule type="expression" dxfId="88" priority="6">
      <formula>X60</formula>
    </cfRule>
    <cfRule type="expression" dxfId="87" priority="7">
      <formula>$AD60</formula>
    </cfRule>
  </conditionalFormatting>
  <conditionalFormatting sqref="K62">
    <cfRule type="expression" dxfId="86" priority="4">
      <formula>X62</formula>
    </cfRule>
    <cfRule type="expression" dxfId="85" priority="5">
      <formula>$AD62</formula>
    </cfRule>
  </conditionalFormatting>
  <conditionalFormatting sqref="K64">
    <cfRule type="expression" dxfId="84" priority="2">
      <formula>X64</formula>
    </cfRule>
    <cfRule type="expression" dxfId="83" priority="3">
      <formula>$AD64</formula>
    </cfRule>
  </conditionalFormatting>
  <conditionalFormatting sqref="L29:P29 L34:P34 L39:P39 L44:P44 L49:P49">
    <cfRule type="expression" dxfId="82" priority="1">
      <formula>$AD28</formula>
    </cfRule>
  </conditionalFormatting>
  <conditionalFormatting sqref="E6">
    <cfRule type="expression" dxfId="81" priority="36" stopIfTrue="1">
      <formula>$V6</formula>
    </cfRule>
  </conditionalFormatting>
  <conditionalFormatting sqref="E7">
    <cfRule type="expression" dxfId="80" priority="37" stopIfTrue="1">
      <formula>$V7</formula>
    </cfRule>
  </conditionalFormatting>
  <conditionalFormatting sqref="E8">
    <cfRule type="expression" dxfId="79" priority="38" stopIfTrue="1">
      <formula>$V8</formula>
    </cfRule>
  </conditionalFormatting>
  <conditionalFormatting sqref="E9">
    <cfRule type="expression" dxfId="78" priority="39" stopIfTrue="1">
      <formula>$V9</formula>
    </cfRule>
  </conditionalFormatting>
  <conditionalFormatting sqref="E10">
    <cfRule type="expression" dxfId="77" priority="40" stopIfTrue="1">
      <formula>$V10</formula>
    </cfRule>
  </conditionalFormatting>
  <conditionalFormatting sqref="E11">
    <cfRule type="expression" dxfId="76" priority="41" stopIfTrue="1">
      <formula>$V11</formula>
    </cfRule>
  </conditionalFormatting>
  <conditionalFormatting sqref="E12">
    <cfRule type="expression" dxfId="75" priority="42" stopIfTrue="1">
      <formula>$V12</formula>
    </cfRule>
  </conditionalFormatting>
  <conditionalFormatting sqref="E13">
    <cfRule type="expression" dxfId="74" priority="43" stopIfTrue="1">
      <formula>$V13</formula>
    </cfRule>
  </conditionalFormatting>
  <dataValidations count="16">
    <dataValidation imeMode="off" allowBlank="1" showInputMessage="1" showErrorMessage="1" sqref="D5:F5 C2 F6:F105" xr:uid="{CB464280-8BBE-49E5-8557-AD75A5939BAF}"/>
    <dataValidation type="whole" imeMode="off" operator="equal" allowBlank="1" showInputMessage="1" showErrorMessage="1" error="DESC指定の場合に‐1を入力" sqref="L56:P56 L58:P58 L60:P60 L62:P62 L64:P64" xr:uid="{64AC777A-7115-4B19-AE31-B330BE89A7DD}">
      <formula1>-1</formula1>
    </dataValidation>
    <dataValidation type="whole" imeMode="off" operator="equal" allowBlank="1" showInputMessage="1" showErrorMessage="1" error="Unique indexの場合に1を入力" sqref="K56 K58 K60 K62 K64" xr:uid="{425D9475-9D3D-4EE6-8460-A1DF613651BC}">
      <formula1>1</formula1>
    </dataValidation>
    <dataValidation type="list" allowBlank="1" showInputMessage="1" showErrorMessage="1" sqref="N26 P26 N31 P31 N36 P36 N41 P41 N46 P46" xr:uid="{58AB4337-4C1A-4FA9-B718-ACA95A976125}">
      <formula1>FK_OPTION</formula1>
    </dataValidation>
    <dataValidation type="list" allowBlank="1" showInputMessage="1" showErrorMessage="1" sqref="L49:P49" xr:uid="{7B14CE29-E968-4E87-B5C7-C7C221682B8D}">
      <formula1>FK_FIELD_5</formula1>
    </dataValidation>
    <dataValidation type="list" allowBlank="1" showInputMessage="1" showErrorMessage="1" sqref="L44:P44" xr:uid="{793FB34E-5530-42AC-847C-DF5BA82AD92D}">
      <formula1>FK_FIELD_4</formula1>
    </dataValidation>
    <dataValidation type="list" allowBlank="1" showInputMessage="1" showErrorMessage="1" sqref="L39:P39" xr:uid="{8522FA47-E0C0-4503-A244-4F77E4D52699}">
      <formula1>FK_FIELD_3</formula1>
    </dataValidation>
    <dataValidation type="list" allowBlank="1" showInputMessage="1" showErrorMessage="1" sqref="L34:P34" xr:uid="{67D2B46A-D650-410C-9FE8-D2E55455EB9C}">
      <formula1>FK_FIELD_2</formula1>
    </dataValidation>
    <dataValidation type="list" allowBlank="1" showInputMessage="1" showErrorMessage="1" sqref="L29:P29" xr:uid="{EB8F28D1-1ABC-4D1A-8101-D0419EE6C383}">
      <formula1>FK_FIELD_1</formula1>
    </dataValidation>
    <dataValidation type="list" allowBlank="1" showInputMessage="1" showErrorMessage="1" sqref="L26 L31 L36 L41 L46" xr:uid="{C72D5BEE-CC16-4323-B66A-305303A812C5}">
      <formula1>TABLEリスト</formula1>
    </dataValidation>
    <dataValidation type="list" allowBlank="1" showInputMessage="1" showErrorMessage="1" sqref="F2" xr:uid="{43BEF8A1-E060-4A24-8AFD-2477106E2F36}">
      <formula1>"○,-"</formula1>
    </dataValidation>
    <dataValidation type="list" allowBlank="1" showInputMessage="1" showErrorMessage="1" sqref="L13:P22 L43:P43 L48:P48 L33:P33 L38:P38 L28:P28 L55:P55 L57:P57 L59:P59 L61:P61 L63:P63" xr:uid="{88D29C42-53CA-4628-8CDB-FCCE6873CBC0}">
      <formula1>FIELDリスト</formula1>
    </dataValidation>
    <dataValidation type="list" allowBlank="1" showInputMessage="1" showErrorMessage="1" sqref="L8:P8" xr:uid="{4D9A1B79-C182-44C6-AC02-EEF76B29DB5B}">
      <formula1>FIELDリストNN</formula1>
    </dataValidation>
    <dataValidation type="whole" imeMode="off" operator="equal" allowBlank="1" showInputMessage="1" showErrorMessage="1" error="NotNullの場合は[1]を入力する。" sqref="E6:E105" xr:uid="{CDD514A1-5327-42F5-8267-C9080A6A7922}">
      <formula1>1</formula1>
    </dataValidation>
    <dataValidation type="list" allowBlank="1" showInputMessage="1" showErrorMessage="1" sqref="B6:B105" xr:uid="{8E0F06F4-E25F-4785-9F32-4D449CDA680D}">
      <formula1>項目リスト</formula1>
    </dataValidation>
    <dataValidation imeMode="on" allowBlank="1" showInputMessage="1" showErrorMessage="1" sqref="K12 A5 A1:A2 E2 K7 K54 G6:H105" xr:uid="{D55C09CB-C33B-481B-B442-5B4CB2913D1E}"/>
  </dataValidations>
  <hyperlinks>
    <hyperlink ref="E1" location="一覧!R1C1" display="一覧へ" xr:uid="{DA2B2A33-488D-45B0-BE34-DB5F450EE99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10D28-1E31-40EF-8C35-5FE3A534AF4A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移行元システム</v>
      </c>
      <c r="C1" s="20" t="str">
        <f>SCHEMA_EN</f>
        <v>source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商品</v>
      </c>
      <c r="C2" s="20" t="str" cm="1">
        <f t="array" ref="C2">INDEX(一覧!DATA_AREA,TABLE_NO,3)</f>
        <v>products</v>
      </c>
      <c r="D2" s="91">
        <v>3</v>
      </c>
      <c r="E2" s="85" t="s">
        <v>53</v>
      </c>
      <c r="F2" s="86" t="s">
        <v>160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116</v>
      </c>
      <c r="C6" s="34" t="str">
        <f ca="1">IFERROR(VLOOKUP(B6,項目!DATA_AREA,2,FALSE),"")</f>
        <v>product_name</v>
      </c>
      <c r="D6" s="34" t="str">
        <f ca="1">IFERROR(VLOOKUP(B6,項目!DATA_AREA,3,FALSE),"")</f>
        <v>varchar(30)</v>
      </c>
      <c r="E6" s="47">
        <v>1</v>
      </c>
      <c r="F6" s="116" t="s">
        <v>161</v>
      </c>
      <c r="G6" s="37">
        <f ca="1">IFERROR(VLOOKUP(B6,項目!DATA_AREA,4,FALSE),"")</f>
        <v>0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165</v>
      </c>
      <c r="AJ6" s="66" t="s">
        <v>165</v>
      </c>
      <c r="AK6" s="95" t="s">
        <v>154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128</v>
      </c>
      <c r="C7" s="35" t="str">
        <f ca="1">IFERROR(VLOOKUP(B7,項目!DATA_AREA,2,FALSE),"")</f>
        <v>cost_price</v>
      </c>
      <c r="D7" s="35" t="str">
        <f ca="1">IFERROR(VLOOKUP(B7,項目!DATA_AREA,3,FALSE),"")</f>
        <v>integer</v>
      </c>
      <c r="E7" s="48">
        <v>1</v>
      </c>
      <c r="F7" s="117" t="s">
        <v>161</v>
      </c>
      <c r="G7" s="38" t="str">
        <f ca="1">IFERROR(VLOOKUP(B7,項目!DATA_AREA,4,FALSE),"")</f>
        <v>(0 &lt;= cost_price AND cost_price &lt;= 9999999)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128</v>
      </c>
      <c r="AJ7" s="66" t="s">
        <v>128</v>
      </c>
      <c r="AK7" s="95" t="s">
        <v>152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116</v>
      </c>
      <c r="M8" s="69"/>
      <c r="N8" s="69"/>
      <c r="O8" s="69"/>
      <c r="P8" s="70"/>
      <c r="R8" s="83" t="str">
        <f>_xlfn.CONCAT(L8:P8)</f>
        <v>商品名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 t="s">
        <v>179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73" priority="24">
      <formula>ISERROR(B2)</formula>
    </cfRule>
  </conditionalFormatting>
  <conditionalFormatting sqref="B6:B105">
    <cfRule type="expression" dxfId="72" priority="22">
      <formula>COUNTIF(FIELD_NAME,B6)&gt;1</formula>
    </cfRule>
    <cfRule type="expression" dxfId="71" priority="23">
      <formula>AND($B6&lt;&gt;"",ISNA(MATCH($B6,項目リスト,0)))</formula>
    </cfRule>
  </conditionalFormatting>
  <conditionalFormatting sqref="B6">
    <cfRule type="expression" dxfId="70" priority="21">
      <formula>$AI$6="N/A"</formula>
    </cfRule>
  </conditionalFormatting>
  <conditionalFormatting sqref="D1">
    <cfRule type="cellIs" dxfId="69" priority="20" operator="greaterThan">
      <formula>0</formula>
    </cfRule>
  </conditionalFormatting>
  <conditionalFormatting sqref="L8:P8">
    <cfRule type="expression" dxfId="68" priority="26">
      <formula>Y8</formula>
    </cfRule>
    <cfRule type="expression" dxfId="67" priority="27">
      <formula>Y7</formula>
    </cfRule>
  </conditionalFormatting>
  <conditionalFormatting sqref="L13:P22">
    <cfRule type="expression" dxfId="66" priority="18">
      <formula>Y13</formula>
    </cfRule>
    <cfRule type="expression" dxfId="65" priority="19">
      <formula>$AD13</formula>
    </cfRule>
  </conditionalFormatting>
  <conditionalFormatting sqref="L8">
    <cfRule type="expression" dxfId="64" priority="25">
      <formula>$AG$7</formula>
    </cfRule>
  </conditionalFormatting>
  <conditionalFormatting sqref="L55:P64">
    <cfRule type="expression" dxfId="63" priority="16">
      <formula>Y55</formula>
    </cfRule>
    <cfRule type="expression" dxfId="62" priority="17">
      <formula>$AD55</formula>
    </cfRule>
  </conditionalFormatting>
  <conditionalFormatting sqref="L43:P44">
    <cfRule type="expression" dxfId="61" priority="15">
      <formula>Y42</formula>
    </cfRule>
  </conditionalFormatting>
  <conditionalFormatting sqref="L43:P43">
    <cfRule type="expression" dxfId="60" priority="13">
      <formula>$AD42</formula>
    </cfRule>
    <cfRule type="expression" dxfId="59" priority="29">
      <formula>Y41</formula>
    </cfRule>
  </conditionalFormatting>
  <conditionalFormatting sqref="L43">
    <cfRule type="expression" dxfId="58" priority="14">
      <formula>$AD41</formula>
    </cfRule>
  </conditionalFormatting>
  <conditionalFormatting sqref="L28:P29 L33:P34 L38:P39 L48:P49 L43:P44">
    <cfRule type="expression" dxfId="57" priority="30">
      <formula>Y27</formula>
    </cfRule>
  </conditionalFormatting>
  <conditionalFormatting sqref="L29:P29 L34:P34 L39:P39 L49:P49">
    <cfRule type="expression" dxfId="56" priority="31">
      <formula>$AD27</formula>
    </cfRule>
    <cfRule type="expression" dxfId="55" priority="32">
      <formula>Y26</formula>
    </cfRule>
  </conditionalFormatting>
  <conditionalFormatting sqref="L28 L33 L38 L48 L43">
    <cfRule type="expression" dxfId="54" priority="33">
      <formula>$AD26</formula>
    </cfRule>
  </conditionalFormatting>
  <conditionalFormatting sqref="L44:P44">
    <cfRule type="expression" dxfId="53" priority="34">
      <formula>$AD42</formula>
    </cfRule>
    <cfRule type="expression" dxfId="52" priority="35">
      <formula>Y41</formula>
    </cfRule>
  </conditionalFormatting>
  <conditionalFormatting sqref="L28:P28 L33:P33 L38:P38 L43:P43 L48:P48">
    <cfRule type="expression" dxfId="51" priority="12">
      <formula>$AD27</formula>
    </cfRule>
    <cfRule type="expression" dxfId="50" priority="28">
      <formula>Y26</formula>
    </cfRule>
  </conditionalFormatting>
  <conditionalFormatting sqref="K56">
    <cfRule type="expression" dxfId="49" priority="10">
      <formula>X56</formula>
    </cfRule>
    <cfRule type="expression" dxfId="48" priority="11">
      <formula>$AD56</formula>
    </cfRule>
  </conditionalFormatting>
  <conditionalFormatting sqref="K58">
    <cfRule type="expression" dxfId="47" priority="8">
      <formula>X58</formula>
    </cfRule>
    <cfRule type="expression" dxfId="46" priority="9">
      <formula>$AD58</formula>
    </cfRule>
  </conditionalFormatting>
  <conditionalFormatting sqref="K60">
    <cfRule type="expression" dxfId="45" priority="6">
      <formula>X60</formula>
    </cfRule>
    <cfRule type="expression" dxfId="44" priority="7">
      <formula>$AD60</formula>
    </cfRule>
  </conditionalFormatting>
  <conditionalFormatting sqref="K62">
    <cfRule type="expression" dxfId="43" priority="4">
      <formula>X62</formula>
    </cfRule>
    <cfRule type="expression" dxfId="42" priority="5">
      <formula>$AD62</formula>
    </cfRule>
  </conditionalFormatting>
  <conditionalFormatting sqref="K64">
    <cfRule type="expression" dxfId="41" priority="2">
      <formula>X64</formula>
    </cfRule>
    <cfRule type="expression" dxfId="40" priority="3">
      <formula>$AD64</formula>
    </cfRule>
  </conditionalFormatting>
  <conditionalFormatting sqref="L29:P29 L34:P34 L39:P39 L44:P44 L49:P49">
    <cfRule type="expression" dxfId="39" priority="1">
      <formula>$AD28</formula>
    </cfRule>
  </conditionalFormatting>
  <conditionalFormatting sqref="E6">
    <cfRule type="expression" dxfId="38" priority="36" stopIfTrue="1">
      <formula>$V6</formula>
    </cfRule>
  </conditionalFormatting>
  <conditionalFormatting sqref="E7">
    <cfRule type="expression" dxfId="37" priority="37" stopIfTrue="1">
      <formula>$V7</formula>
    </cfRule>
  </conditionalFormatting>
  <dataValidations count="16">
    <dataValidation imeMode="off" allowBlank="1" showInputMessage="1" showErrorMessage="1" sqref="D5:F5 C2 F6:F105" xr:uid="{8725E080-D89D-4071-A469-89D4CFE91776}"/>
    <dataValidation type="whole" imeMode="off" operator="equal" allowBlank="1" showInputMessage="1" showErrorMessage="1" error="DESC指定の場合に‐1を入力" sqref="L56:P56 L58:P58 L60:P60 L62:P62 L64:P64" xr:uid="{033E1EE2-6CF6-4B0E-A5A3-B99056AAC02C}">
      <formula1>-1</formula1>
    </dataValidation>
    <dataValidation type="whole" imeMode="off" operator="equal" allowBlank="1" showInputMessage="1" showErrorMessage="1" error="Unique indexの場合に1を入力" sqref="K56 K58 K60 K62 K64" xr:uid="{756A7CC6-DB0D-4276-AB4B-07F26F8CEC0D}">
      <formula1>1</formula1>
    </dataValidation>
    <dataValidation type="list" allowBlank="1" showInputMessage="1" showErrorMessage="1" sqref="N26 P26 N31 P31 N36 P36 N41 P41 N46 P46" xr:uid="{4AFDF94A-E7D5-4064-BB45-F46EEDF68D62}">
      <formula1>FK_OPTION</formula1>
    </dataValidation>
    <dataValidation type="list" allowBlank="1" showInputMessage="1" showErrorMessage="1" sqref="L49:P49" xr:uid="{374CF4A4-E0C5-45B8-8E99-5CF28388B732}">
      <formula1>FK_FIELD_5</formula1>
    </dataValidation>
    <dataValidation type="list" allowBlank="1" showInputMessage="1" showErrorMessage="1" sqref="L44:P44" xr:uid="{B43E26D2-842C-4338-BEC6-52797C8FC702}">
      <formula1>FK_FIELD_4</formula1>
    </dataValidation>
    <dataValidation type="list" allowBlank="1" showInputMessage="1" showErrorMessage="1" sqref="L39:P39" xr:uid="{453A481D-8162-4118-8373-0F12CA42EF9F}">
      <formula1>FK_FIELD_3</formula1>
    </dataValidation>
    <dataValidation type="list" allowBlank="1" showInputMessage="1" showErrorMessage="1" sqref="L34:P34" xr:uid="{EBC7277E-3545-4EBC-923A-51B2099BEB0E}">
      <formula1>FK_FIELD_2</formula1>
    </dataValidation>
    <dataValidation type="list" allowBlank="1" showInputMessage="1" showErrorMessage="1" sqref="L29:P29" xr:uid="{41657199-7F2E-448D-9926-6886E93DC07F}">
      <formula1>FK_FIELD_1</formula1>
    </dataValidation>
    <dataValidation type="list" allowBlank="1" showInputMessage="1" showErrorMessage="1" sqref="L26 L31 L36 L41 L46" xr:uid="{3F3EAD00-5EF8-4408-80AE-C8800B155577}">
      <formula1>TABLEリスト</formula1>
    </dataValidation>
    <dataValidation type="list" allowBlank="1" showInputMessage="1" showErrorMessage="1" sqref="F2" xr:uid="{4FC631E6-838B-4728-A580-246A294B6787}">
      <formula1>"○,-"</formula1>
    </dataValidation>
    <dataValidation type="list" allowBlank="1" showInputMessage="1" showErrorMessage="1" sqref="L13:P22 L43:P43 L48:P48 L33:P33 L38:P38 L28:P28 L55:P55 L57:P57 L59:P59 L61:P61 L63:P63" xr:uid="{A0B86A46-49F6-4F8A-97BF-B17215642070}">
      <formula1>FIELDリスト</formula1>
    </dataValidation>
    <dataValidation type="list" allowBlank="1" showInputMessage="1" showErrorMessage="1" sqref="L8:P8" xr:uid="{F3B74A4A-3426-4A65-B5A0-4F911624C50D}">
      <formula1>FIELDリストNN</formula1>
    </dataValidation>
    <dataValidation type="whole" imeMode="off" operator="equal" allowBlank="1" showInputMessage="1" showErrorMessage="1" error="NotNullの場合は[1]を入力する。" sqref="E6:E105" xr:uid="{5691619E-8009-4A11-91AC-B139E0707DE3}">
      <formula1>1</formula1>
    </dataValidation>
    <dataValidation type="list" allowBlank="1" showInputMessage="1" showErrorMessage="1" sqref="B6:B105" xr:uid="{45102E0A-BD68-4817-8385-62A7B87E4A0B}">
      <formula1>項目リスト</formula1>
    </dataValidation>
    <dataValidation imeMode="on" allowBlank="1" showInputMessage="1" showErrorMessage="1" sqref="K12 A5 A1:A2 E2 K7 K54 G6:H105" xr:uid="{BC01392E-7C5E-4EB1-8526-6985EC1D4A49}"/>
  </dataValidations>
  <hyperlinks>
    <hyperlink ref="E1" location="一覧!R1C1" display="一覧へ" xr:uid="{F2F367BF-AD2C-405B-BE92-344DB29A173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4770B-AA73-4398-8FEF-E6607CF58FAE}">
  <sheetPr codeName="template4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移行元システム</v>
      </c>
      <c r="C1" s="20" t="str">
        <f>SCHEMA_EN</f>
        <v>source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担当者</v>
      </c>
      <c r="C2" s="20" t="str" cm="1">
        <f t="array" ref="C2">INDEX(一覧!DATA_AREA,TABLE_NO,3)</f>
        <v>operaters</v>
      </c>
      <c r="D2" s="91">
        <v>4</v>
      </c>
      <c r="E2" s="85" t="s">
        <v>53</v>
      </c>
      <c r="F2" s="86" t="s">
        <v>160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180</v>
      </c>
      <c r="C6" s="34" t="str">
        <f ca="1">IFERROR(VLOOKUP(B6,項目!DATA_AREA,2,FALSE),"")</f>
        <v>operator_id</v>
      </c>
      <c r="D6" s="34" t="str">
        <f ca="1">IFERROR(VLOOKUP(B6,項目!DATA_AREA,3,FALSE),"")</f>
        <v>varchar(5)</v>
      </c>
      <c r="E6" s="47">
        <v>1</v>
      </c>
      <c r="F6" s="116" t="s">
        <v>161</v>
      </c>
      <c r="G6" s="37">
        <f ca="1">IFERROR(VLOOKUP(B6,項目!DATA_AREA,4,FALSE),"")</f>
        <v>0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190</v>
      </c>
      <c r="AJ6" s="66" t="s">
        <v>190</v>
      </c>
      <c r="AK6" s="95" t="s">
        <v>154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191</v>
      </c>
      <c r="C7" s="35" t="str">
        <f ca="1">IFERROR(VLOOKUP(B7,項目!DATA_AREA,2,FALSE),"")</f>
        <v>operator_name</v>
      </c>
      <c r="D7" s="35" t="str">
        <f ca="1">IFERROR(VLOOKUP(B7,項目!DATA_AREA,3,FALSE),"")</f>
        <v>varchar(30)</v>
      </c>
      <c r="E7" s="48">
        <v>1</v>
      </c>
      <c r="F7" s="117" t="s">
        <v>161</v>
      </c>
      <c r="G7" s="38" t="str">
        <f ca="1">IFERROR(VLOOKUP(B7,項目!DATA_AREA,4,FALSE),"")</f>
        <v>(LENGTH(operator_name) &gt;= 3)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191</v>
      </c>
      <c r="AJ7" s="66" t="s">
        <v>191</v>
      </c>
      <c r="AK7" s="95" t="s">
        <v>152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180</v>
      </c>
      <c r="M8" s="69"/>
      <c r="N8" s="69"/>
      <c r="O8" s="69"/>
      <c r="P8" s="70"/>
      <c r="R8" s="83" t="str">
        <f>_xlfn.CONCAT(L8:P8)</f>
        <v>担当者ID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 t="s">
        <v>155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36" priority="24">
      <formula>ISERROR(B2)</formula>
    </cfRule>
  </conditionalFormatting>
  <conditionalFormatting sqref="B6:B105">
    <cfRule type="expression" dxfId="35" priority="22">
      <formula>COUNTIF(FIELD_NAME,B6)&gt;1</formula>
    </cfRule>
    <cfRule type="expression" dxfId="34" priority="23">
      <formula>AND($B6&lt;&gt;"",ISNA(MATCH($B6,項目リスト,0)))</formula>
    </cfRule>
  </conditionalFormatting>
  <conditionalFormatting sqref="B6">
    <cfRule type="expression" dxfId="33" priority="21">
      <formula>$AI$6="N/A"</formula>
    </cfRule>
  </conditionalFormatting>
  <conditionalFormatting sqref="D1">
    <cfRule type="cellIs" dxfId="32" priority="20" operator="greaterThan">
      <formula>0</formula>
    </cfRule>
  </conditionalFormatting>
  <conditionalFormatting sqref="L8:P8">
    <cfRule type="expression" dxfId="31" priority="26">
      <formula>Y8</formula>
    </cfRule>
    <cfRule type="expression" dxfId="30" priority="27">
      <formula>Y7</formula>
    </cfRule>
  </conditionalFormatting>
  <conditionalFormatting sqref="L13:P22">
    <cfRule type="expression" dxfId="29" priority="18">
      <formula>Y13</formula>
    </cfRule>
    <cfRule type="expression" dxfId="28" priority="19">
      <formula>$AD13</formula>
    </cfRule>
  </conditionalFormatting>
  <conditionalFormatting sqref="L8">
    <cfRule type="expression" dxfId="27" priority="25">
      <formula>$AG$7</formula>
    </cfRule>
  </conditionalFormatting>
  <conditionalFormatting sqref="L55:P64">
    <cfRule type="expression" dxfId="26" priority="16">
      <formula>Y55</formula>
    </cfRule>
    <cfRule type="expression" dxfId="25" priority="17">
      <formula>$AD55</formula>
    </cfRule>
  </conditionalFormatting>
  <conditionalFormatting sqref="L43:P44">
    <cfRule type="expression" dxfId="24" priority="15">
      <formula>Y42</formula>
    </cfRule>
  </conditionalFormatting>
  <conditionalFormatting sqref="L43:P43">
    <cfRule type="expression" dxfId="23" priority="13">
      <formula>$AD42</formula>
    </cfRule>
    <cfRule type="expression" dxfId="22" priority="29">
      <formula>Y41</formula>
    </cfRule>
  </conditionalFormatting>
  <conditionalFormatting sqref="L43">
    <cfRule type="expression" dxfId="21" priority="14">
      <formula>$AD41</formula>
    </cfRule>
  </conditionalFormatting>
  <conditionalFormatting sqref="L28:P29 L33:P34 L38:P39 L48:P49 L43:P44">
    <cfRule type="expression" dxfId="20" priority="30">
      <formula>Y27</formula>
    </cfRule>
  </conditionalFormatting>
  <conditionalFormatting sqref="L29:P29 L34:P34 L39:P39 L49:P49">
    <cfRule type="expression" dxfId="19" priority="31">
      <formula>$AD27</formula>
    </cfRule>
    <cfRule type="expression" dxfId="18" priority="32">
      <formula>Y26</formula>
    </cfRule>
  </conditionalFormatting>
  <conditionalFormatting sqref="L28 L33 L38 L48 L43">
    <cfRule type="expression" dxfId="17" priority="33">
      <formula>$AD26</formula>
    </cfRule>
  </conditionalFormatting>
  <conditionalFormatting sqref="L44:P44">
    <cfRule type="expression" dxfId="16" priority="34">
      <formula>$AD42</formula>
    </cfRule>
    <cfRule type="expression" dxfId="15" priority="35">
      <formula>Y41</formula>
    </cfRule>
  </conditionalFormatting>
  <conditionalFormatting sqref="L28:P28 L33:P33 L38:P38 L43:P43 L48:P48">
    <cfRule type="expression" dxfId="14" priority="12">
      <formula>$AD27</formula>
    </cfRule>
    <cfRule type="expression" dxfId="13" priority="28">
      <formula>Y26</formula>
    </cfRule>
  </conditionalFormatting>
  <conditionalFormatting sqref="K56">
    <cfRule type="expression" dxfId="12" priority="10">
      <formula>X56</formula>
    </cfRule>
    <cfRule type="expression" dxfId="11" priority="11">
      <formula>$AD56</formula>
    </cfRule>
  </conditionalFormatting>
  <conditionalFormatting sqref="K58">
    <cfRule type="expression" dxfId="10" priority="8">
      <formula>X58</formula>
    </cfRule>
    <cfRule type="expression" dxfId="9" priority="9">
      <formula>$AD58</formula>
    </cfRule>
  </conditionalFormatting>
  <conditionalFormatting sqref="K60">
    <cfRule type="expression" dxfId="8" priority="6">
      <formula>X60</formula>
    </cfRule>
    <cfRule type="expression" dxfId="7" priority="7">
      <formula>$AD60</formula>
    </cfRule>
  </conditionalFormatting>
  <conditionalFormatting sqref="K62">
    <cfRule type="expression" dxfId="6" priority="4">
      <formula>X62</formula>
    </cfRule>
    <cfRule type="expression" dxfId="5" priority="5">
      <formula>$AD62</formula>
    </cfRule>
  </conditionalFormatting>
  <conditionalFormatting sqref="K64">
    <cfRule type="expression" dxfId="4" priority="2">
      <formula>X64</formula>
    </cfRule>
    <cfRule type="expression" dxfId="3" priority="3">
      <formula>$AD64</formula>
    </cfRule>
  </conditionalFormatting>
  <conditionalFormatting sqref="L29:P29 L34:P34 L39:P39 L44:P44 L49:P49">
    <cfRule type="expression" dxfId="2" priority="1">
      <formula>$AD28</formula>
    </cfRule>
  </conditionalFormatting>
  <conditionalFormatting sqref="E6">
    <cfRule type="expression" dxfId="1" priority="36" stopIfTrue="1">
      <formula>$V6</formula>
    </cfRule>
  </conditionalFormatting>
  <conditionalFormatting sqref="E7">
    <cfRule type="expression" dxfId="0" priority="37" stopIfTrue="1">
      <formula>$V7</formula>
    </cfRule>
  </conditionalFormatting>
  <dataValidations count="16">
    <dataValidation imeMode="off" allowBlank="1" showInputMessage="1" showErrorMessage="1" sqref="D5:F5 C2 F6:F105" xr:uid="{3A63E5B6-C367-4F58-863D-5AC7524B4FE6}"/>
    <dataValidation type="whole" imeMode="off" operator="equal" allowBlank="1" showInputMessage="1" showErrorMessage="1" error="DESC指定の場合に‐1を入力" sqref="L56:P56 L58:P58 L60:P60 L62:P62 L64:P64" xr:uid="{B80772F1-4A73-4522-8806-32CB7FF865D4}">
      <formula1>-1</formula1>
    </dataValidation>
    <dataValidation type="whole" imeMode="off" operator="equal" allowBlank="1" showInputMessage="1" showErrorMessage="1" error="Unique indexの場合に1を入力" sqref="K56 K58 K60 K62 K64" xr:uid="{BDEDD7F2-C0D6-4A7D-8881-94163102A4B1}">
      <formula1>1</formula1>
    </dataValidation>
    <dataValidation type="list" allowBlank="1" showInputMessage="1" showErrorMessage="1" sqref="N26 P26 N31 P31 N36 P36 N41 P41 N46 P46" xr:uid="{D5B00DF8-5CC3-4602-A198-E271257F6AAE}">
      <formula1>FK_OPTION</formula1>
    </dataValidation>
    <dataValidation type="list" allowBlank="1" showInputMessage="1" showErrorMessage="1" sqref="L49:P49" xr:uid="{B7E9632C-B265-4428-B465-13C7B1AA8D1C}">
      <formula1>FK_FIELD_5</formula1>
    </dataValidation>
    <dataValidation type="list" allowBlank="1" showInputMessage="1" showErrorMessage="1" sqref="L44:P44" xr:uid="{37AA8C58-35A0-4A5E-9F5E-5677D5DD71EB}">
      <formula1>FK_FIELD_4</formula1>
    </dataValidation>
    <dataValidation type="list" allowBlank="1" showInputMessage="1" showErrorMessage="1" sqref="L39:P39" xr:uid="{7FBB9064-7EAC-4AA3-851B-C3EC0402C582}">
      <formula1>FK_FIELD_3</formula1>
    </dataValidation>
    <dataValidation type="list" allowBlank="1" showInputMessage="1" showErrorMessage="1" sqref="L34:P34" xr:uid="{11F345B5-903E-479E-9FF9-0AA69A216008}">
      <formula1>FK_FIELD_2</formula1>
    </dataValidation>
    <dataValidation type="list" allowBlank="1" showInputMessage="1" showErrorMessage="1" sqref="L29:P29" xr:uid="{37289643-61B5-485B-AB19-D18D420F31FC}">
      <formula1>FK_FIELD_1</formula1>
    </dataValidation>
    <dataValidation type="list" allowBlank="1" showInputMessage="1" showErrorMessage="1" sqref="L26 L31 L36 L41 L46" xr:uid="{5FA09215-E4BD-471D-9B2F-44A96770092D}">
      <formula1>TABLEリスト</formula1>
    </dataValidation>
    <dataValidation type="list" allowBlank="1" showInputMessage="1" showErrorMessage="1" sqref="F2" xr:uid="{FB823554-E028-48E1-AC11-02CDEF964212}">
      <formula1>"○,-"</formula1>
    </dataValidation>
    <dataValidation type="list" allowBlank="1" showInputMessage="1" showErrorMessage="1" sqref="L13:P22 L43:P43 L48:P48 L33:P33 L38:P38 L28:P28 L55:P55 L57:P57 L59:P59 L61:P61 L63:P63" xr:uid="{DC1F74C6-37BA-4E42-97D4-CDE36C5E36BB}">
      <formula1>FIELDリスト</formula1>
    </dataValidation>
    <dataValidation type="list" allowBlank="1" showInputMessage="1" showErrorMessage="1" sqref="L8:P8" xr:uid="{905E0229-D166-408A-8742-4F39F3DC8A3E}">
      <formula1>FIELDリストNN</formula1>
    </dataValidation>
    <dataValidation type="whole" imeMode="off" operator="equal" allowBlank="1" showInputMessage="1" showErrorMessage="1" error="NotNullの場合は[1]を入力する。" sqref="E6:E105" xr:uid="{42D12EE3-DD3F-4AB1-8382-3BBF615054DE}">
      <formula1>1</formula1>
    </dataValidation>
    <dataValidation type="list" allowBlank="1" showInputMessage="1" showErrorMessage="1" sqref="B6:B105" xr:uid="{9736B0D2-2AE3-47DB-B0F9-187C9CB7C8F9}">
      <formula1>項目リスト</formula1>
    </dataValidation>
    <dataValidation imeMode="on" allowBlank="1" showInputMessage="1" showErrorMessage="1" sqref="K12 A5 A1:A2 E2 K7 K54 G6:H105" xr:uid="{63F83529-3890-4894-A2AA-0ACCCB80C4CD}"/>
  </dataValidations>
  <hyperlinks>
    <hyperlink ref="E1" location="一覧!R1C1" display="一覧へ" xr:uid="{167D770B-1B16-4F3F-B941-9921078FCA8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43</v>
      </c>
      <c r="C5" t="s">
        <v>52</v>
      </c>
      <c r="E5" t="s">
        <v>65</v>
      </c>
    </row>
    <row r="6" spans="1:8">
      <c r="A6" s="64" t="s">
        <v>163</v>
      </c>
      <c r="C6" s="84"/>
    </row>
    <row r="7" spans="1:8">
      <c r="E7" s="97" t="s">
        <v>66</v>
      </c>
    </row>
    <row r="8" spans="1:8">
      <c r="A8" t="s">
        <v>44</v>
      </c>
      <c r="E8" s="97" t="s">
        <v>67</v>
      </c>
    </row>
    <row r="9" spans="1:8">
      <c r="A9" s="64" t="s">
        <v>164</v>
      </c>
      <c r="E9" s="97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112</vt:i4>
      </vt:variant>
    </vt:vector>
  </HeadingPairs>
  <TitlesOfParts>
    <vt:vector size="120" baseType="lpstr">
      <vt:lpstr>項目</vt:lpstr>
      <vt:lpstr>一覧</vt:lpstr>
      <vt:lpstr>テンプレート</vt:lpstr>
      <vt:lpstr>受注</vt:lpstr>
      <vt:lpstr>受注明細</vt:lpstr>
      <vt:lpstr>商品</vt:lpstr>
      <vt:lpstr>担当者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商品!ERRORS</vt:lpstr>
      <vt:lpstr>担当者!ERRORS</vt:lpstr>
      <vt:lpstr>テンプレート!FIELD_AREA</vt:lpstr>
      <vt:lpstr>受注!FIELD_AREA</vt:lpstr>
      <vt:lpstr>受注明細!FIELD_AREA</vt:lpstr>
      <vt:lpstr>商品!FIELD_AREA</vt:lpstr>
      <vt:lpstr>担当者!FIELD_AREA</vt:lpstr>
      <vt:lpstr>テンプレート!FIELD_COUNT</vt:lpstr>
      <vt:lpstr>受注!FIELD_COUNT</vt:lpstr>
      <vt:lpstr>受注明細!FIELD_COUNT</vt:lpstr>
      <vt:lpstr>商品!FIELD_COUNT</vt:lpstr>
      <vt:lpstr>担当者!FIELD_COUNT</vt:lpstr>
      <vt:lpstr>テンプレート!FIELD_COUNT_NN</vt:lpstr>
      <vt:lpstr>受注!FIELD_COUNT_NN</vt:lpstr>
      <vt:lpstr>受注明細!FIELD_COUNT_NN</vt:lpstr>
      <vt:lpstr>商品!FIELD_COUNT_NN</vt:lpstr>
      <vt:lpstr>担当者!FIELD_COUNT_NN</vt:lpstr>
      <vt:lpstr>テンプレート!FIELD_NAME</vt:lpstr>
      <vt:lpstr>受注!FIELD_NAME</vt:lpstr>
      <vt:lpstr>受注明細!FIELD_NAME</vt:lpstr>
      <vt:lpstr>商品!FIELD_NAME</vt:lpstr>
      <vt:lpstr>担当者!FIELD_NAME</vt:lpstr>
      <vt:lpstr>テンプレート!FIELD_NN</vt:lpstr>
      <vt:lpstr>受注!FIELD_NN</vt:lpstr>
      <vt:lpstr>受注明細!FIELD_NN</vt:lpstr>
      <vt:lpstr>商品!FIELD_NN</vt:lpstr>
      <vt:lpstr>担当者!FIELD_NN</vt:lpstr>
      <vt:lpstr>テンプレート!FK_ENABLE_1</vt:lpstr>
      <vt:lpstr>受注!FK_ENABLE_1</vt:lpstr>
      <vt:lpstr>受注明細!FK_ENABLE_1</vt:lpstr>
      <vt:lpstr>商品!FK_ENABLE_1</vt:lpstr>
      <vt:lpstr>担当者!FK_ENABLE_1</vt:lpstr>
      <vt:lpstr>テンプレート!FK_ENABLE_2</vt:lpstr>
      <vt:lpstr>受注!FK_ENABLE_2</vt:lpstr>
      <vt:lpstr>受注明細!FK_ENABLE_2</vt:lpstr>
      <vt:lpstr>商品!FK_ENABLE_2</vt:lpstr>
      <vt:lpstr>担当者!FK_ENABLE_2</vt:lpstr>
      <vt:lpstr>テンプレート!FK_ENABLE_3</vt:lpstr>
      <vt:lpstr>受注!FK_ENABLE_3</vt:lpstr>
      <vt:lpstr>受注明細!FK_ENABLE_3</vt:lpstr>
      <vt:lpstr>商品!FK_ENABLE_3</vt:lpstr>
      <vt:lpstr>担当者!FK_ENABLE_3</vt:lpstr>
      <vt:lpstr>テンプレート!FK_ENABLE_4</vt:lpstr>
      <vt:lpstr>受注!FK_ENABLE_4</vt:lpstr>
      <vt:lpstr>受注明細!FK_ENABLE_4</vt:lpstr>
      <vt:lpstr>商品!FK_ENABLE_4</vt:lpstr>
      <vt:lpstr>担当者!FK_ENABLE_4</vt:lpstr>
      <vt:lpstr>テンプレート!FK_ENABLE_5</vt:lpstr>
      <vt:lpstr>受注!FK_ENABLE_5</vt:lpstr>
      <vt:lpstr>受注明細!FK_ENABLE_5</vt:lpstr>
      <vt:lpstr>商品!FK_ENABLE_5</vt:lpstr>
      <vt:lpstr>担当者!FK_ENABLE_5</vt:lpstr>
      <vt:lpstr>FK_OPTION</vt:lpstr>
      <vt:lpstr>テンプレート!IS_MASTER</vt:lpstr>
      <vt:lpstr>受注!IS_MASTER</vt:lpstr>
      <vt:lpstr>受注明細!IS_MASTER</vt:lpstr>
      <vt:lpstr>商品!IS_MASTER</vt:lpstr>
      <vt:lpstr>担当者!IS_MASTER</vt:lpstr>
      <vt:lpstr>テンプレート!PK_AREA</vt:lpstr>
      <vt:lpstr>受注!PK_AREA</vt:lpstr>
      <vt:lpstr>受注明細!PK_AREA</vt:lpstr>
      <vt:lpstr>商品!PK_AREA</vt:lpstr>
      <vt:lpstr>担当者!PK_AREA</vt:lpstr>
      <vt:lpstr>SCHEMA_EN</vt:lpstr>
      <vt:lpstr>SCHEMA_JP</vt:lpstr>
      <vt:lpstr>テンプレート!TABLE_AREA</vt:lpstr>
      <vt:lpstr>受注!TABLE_AREA</vt:lpstr>
      <vt:lpstr>受注明細!TABLE_AREA</vt:lpstr>
      <vt:lpstr>商品!TABLE_AREA</vt:lpstr>
      <vt:lpstr>担当者!TABLE_AREA</vt:lpstr>
      <vt:lpstr>テンプレート!TABLE_COUNT</vt:lpstr>
      <vt:lpstr>受注!TABLE_COUNT</vt:lpstr>
      <vt:lpstr>受注明細!TABLE_COUNT</vt:lpstr>
      <vt:lpstr>商品!TABLE_COUNT</vt:lpstr>
      <vt:lpstr>担当者!TABLE_COUNT</vt:lpstr>
      <vt:lpstr>テンプレート!TABLE_EN</vt:lpstr>
      <vt:lpstr>受注!TABLE_EN</vt:lpstr>
      <vt:lpstr>受注明細!TABLE_EN</vt:lpstr>
      <vt:lpstr>商品!TABLE_EN</vt:lpstr>
      <vt:lpstr>担当者!TABLE_EN</vt:lpstr>
      <vt:lpstr>テンプレート!TABLE_JP</vt:lpstr>
      <vt:lpstr>受注!TABLE_JP</vt:lpstr>
      <vt:lpstr>受注明細!TABLE_JP</vt:lpstr>
      <vt:lpstr>商品!TABLE_JP</vt:lpstr>
      <vt:lpstr>担当者!TABLE_JP</vt:lpstr>
      <vt:lpstr>テンプレート!TABLE_NO</vt:lpstr>
      <vt:lpstr>受注!TABLE_NO</vt:lpstr>
      <vt:lpstr>受注明細!TABLE_NO</vt:lpstr>
      <vt:lpstr>商品!TABLE_NO</vt:lpstr>
      <vt:lpstr>担当者!TABLE_NO</vt:lpstr>
      <vt:lpstr>テンプレート!UNIQUE_AREA</vt:lpstr>
      <vt:lpstr>受注!UNIQUE_AREA</vt:lpstr>
      <vt:lpstr>受注明細!UNIQUE_AREA</vt:lpstr>
      <vt:lpstr>商品!UNIQUE_AREA</vt:lpstr>
      <vt:lpstr>担当者!UNIQUE_AREA</vt:lpstr>
      <vt:lpstr>テンプレート!UNIQUE_EXIST</vt:lpstr>
      <vt:lpstr>受注!UNIQUE_EXIST</vt:lpstr>
      <vt:lpstr>受注明細!UNIQUE_EXIST</vt:lpstr>
      <vt:lpstr>商品!UNIQUE_EXIST</vt:lpstr>
      <vt:lpstr>担当者!UNIQUE_EXIST</vt:lpstr>
      <vt:lpstr>テンプレート!UNIQUE_LIST</vt:lpstr>
      <vt:lpstr>受注!UNIQUE_LIST</vt:lpstr>
      <vt:lpstr>受注明細!UNIQUE_LIST</vt:lpstr>
      <vt:lpstr>商品!UNIQUE_LIST</vt:lpstr>
      <vt:lpstr>担当者!UNIQUE_LIST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2024-12-10T09:38:11Z</dcterms:modified>
</cp:coreProperties>
</file>
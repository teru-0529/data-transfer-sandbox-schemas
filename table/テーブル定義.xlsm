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-schemas\table\"/>
    </mc:Choice>
  </mc:AlternateContent>
  <xr:revisionPtr revIDLastSave="0" documentId="13_ncr:1_{7A1B0345-2C17-42F6-B43D-62C4C42FF15F}" xr6:coauthVersionLast="47" xr6:coauthVersionMax="47" xr10:uidLastSave="{00000000-0000-0000-0000-000000000000}"/>
  <bookViews>
    <workbookView xWindow="-110" yWindow="-110" windowWidth="19420" windowHeight="10300" activeTab="6" xr2:uid="{00000000-000D-0000-FFFF-FFFF00000000}"/>
  </bookViews>
  <sheets>
    <sheet name="項目" sheetId="2" r:id="rId1"/>
    <sheet name="一覧" sheetId="1" r:id="rId2"/>
    <sheet name="テンプレート" sheetId="4" state="hidden" r:id="rId3"/>
    <sheet name="受注" sheetId="228" r:id="rId4"/>
    <sheet name="受注明細" sheetId="229" r:id="rId5"/>
    <sheet name="商品" sheetId="230" r:id="rId6"/>
    <sheet name="担当者" sheetId="231" r:id="rId7"/>
    <sheet name="WORK" sheetId="5" state="hidden" r:id="rId8"/>
  </sheets>
  <functionGroups builtInGroupCount="19"/>
  <definedNames>
    <definedName name="CURRENT_DATETIME">45676.337025463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3">受注!$D$1</definedName>
    <definedName name="ERRORS" localSheetId="4">受注明細!$D$1</definedName>
    <definedName name="ERRORS" localSheetId="5">商品!$D$1</definedName>
    <definedName name="ERRORS" localSheetId="6">担当者!$D$1</definedName>
    <definedName name="FIELD_AREA" localSheetId="2">テンプレート!$AI$6:$AJ$105</definedName>
    <definedName name="FIELD_AREA" localSheetId="3">受注!$AI$6:$AJ$105</definedName>
    <definedName name="FIELD_AREA" localSheetId="4">受注明細!$AI$6:$AJ$105</definedName>
    <definedName name="FIELD_AREA" localSheetId="5">商品!$AI$6:$AJ$105</definedName>
    <definedName name="FIELD_AREA" localSheetId="6">担当者!$AI$6:$AJ$105</definedName>
    <definedName name="FIELD_COUNT" localSheetId="2">テンプレート!$AI$5</definedName>
    <definedName name="FIELD_COUNT" localSheetId="3">受注!$AI$5</definedName>
    <definedName name="FIELD_COUNT" localSheetId="4">受注明細!$AI$5</definedName>
    <definedName name="FIELD_COUNT" localSheetId="5">商品!$AI$5</definedName>
    <definedName name="FIELD_COUNT" localSheetId="6">担当者!$AI$5</definedName>
    <definedName name="FIELD_COUNT">#REF!</definedName>
    <definedName name="FIELD_COUNT_NN" localSheetId="2">テンプレート!$AJ$5</definedName>
    <definedName name="FIELD_COUNT_NN" localSheetId="3">受注!$AJ$5</definedName>
    <definedName name="FIELD_COUNT_NN" localSheetId="4">受注明細!$AJ$5</definedName>
    <definedName name="FIELD_COUNT_NN" localSheetId="5">商品!$AJ$5</definedName>
    <definedName name="FIELD_COUNT_NN" localSheetId="6">担当者!$AJ$5</definedName>
    <definedName name="FIELD_COUNT_NN">#REF!</definedName>
    <definedName name="FIELD_NAME" localSheetId="2">テンプレート!$B$6:$B$105</definedName>
    <definedName name="FIELD_NAME" localSheetId="3">受注!$B$6:$B$105</definedName>
    <definedName name="FIELD_NAME" localSheetId="4">受注明細!$B$6:$B$105</definedName>
    <definedName name="FIELD_NAME" localSheetId="5">商品!$B$6:$B$105</definedName>
    <definedName name="FIELD_NAME" localSheetId="6">担当者!$B$6:$B$105</definedName>
    <definedName name="FIELD_NAME">#REF!</definedName>
    <definedName name="FIELD_NAME__" localSheetId="2">OFFSET(テンプレート!FIELD_NAME,,,,2)</definedName>
    <definedName name="FIELD_NAME__" localSheetId="3">OFFSET(受注!FIELD_NAME,,,,2)</definedName>
    <definedName name="FIELD_NAME__" localSheetId="4">OFFSET(受注明細!FIELD_NAME,,,,2)</definedName>
    <definedName name="FIELD_NAME__" localSheetId="5">OFFSET(商品!FIELD_NAME,,,,2)</definedName>
    <definedName name="FIELD_NAME__" localSheetId="6">OFFSET(担当者!FIELD_NAME,,,,2)</definedName>
    <definedName name="FIELD_NN" localSheetId="2">テンプレート!$E$6:$E$105</definedName>
    <definedName name="FIELD_NN" localSheetId="3">受注!$E$6:$E$105</definedName>
    <definedName name="FIELD_NN" localSheetId="4">受注明細!$E$6:$E$105</definedName>
    <definedName name="FIELD_NN" localSheetId="5">商品!$E$6:$E$105</definedName>
    <definedName name="FIELD_NN" localSheetId="6">担当者!$E$6:$E$105</definedName>
    <definedName name="FIELDリスト" localSheetId="2">OFFSET(テンプレート!$AI$6,,,テンプレート!FIELD_COUNT,)</definedName>
    <definedName name="FIELDリスト" localSheetId="3">OFFSET(受注!$AI$6,,,受注!FIELD_COUNT,)</definedName>
    <definedName name="FIELDリスト" localSheetId="4">OFFSET(受注明細!$AI$6,,,受注明細!FIELD_COUNT,)</definedName>
    <definedName name="FIELDリスト" localSheetId="5">OFFSET(商品!$AI$6,,,商品!FIELD_COUNT,)</definedName>
    <definedName name="FIELDリスト" localSheetId="6">OFFSET(担当者!$AI$6,,,担当者!FIELD_COUNT,)</definedName>
    <definedName name="FIELDリストNN" localSheetId="2">OFFSET(テンプレート!$AJ$6,,,テンプレート!FIELD_COUNT_NN,)</definedName>
    <definedName name="FIELDリストNN" localSheetId="3">OFFSET(受注!$AJ$6,,,受注!FIELD_COUNT_NN,)</definedName>
    <definedName name="FIELDリストNN" localSheetId="4">OFFSET(受注明細!$AJ$6,,,受注明細!FIELD_COUNT_NN,)</definedName>
    <definedName name="FIELDリストNN" localSheetId="5">OFFSET(商品!$AJ$6,,,商品!FIELD_COUNT_NN,)</definedName>
    <definedName name="FIELDリストNN" localSheetId="6">OFFSET(担当者!$AJ$6,,,担当者!FIELD_COUNT_NN,)</definedName>
    <definedName name="FK_ENABLE_1" localSheetId="2">テンプレート!$AL$106:$AL$116</definedName>
    <definedName name="FK_ENABLE_1" localSheetId="3">受注!$AL$106:$AL$116</definedName>
    <definedName name="FK_ENABLE_1" localSheetId="4">受注明細!$AL$106:$AL$116</definedName>
    <definedName name="FK_ENABLE_1" localSheetId="5">商品!$AL$106:$AL$116</definedName>
    <definedName name="FK_ENABLE_1" localSheetId="6">担当者!$AL$106:$AL$116</definedName>
    <definedName name="FK_ENABLE_2" localSheetId="2">テンプレート!$AM$106:$AM$116</definedName>
    <definedName name="FK_ENABLE_2" localSheetId="3">受注!$AM$106:$AM$116</definedName>
    <definedName name="FK_ENABLE_2" localSheetId="4">受注明細!$AM$106:$AM$116</definedName>
    <definedName name="FK_ENABLE_2" localSheetId="5">商品!$AM$106:$AM$116</definedName>
    <definedName name="FK_ENABLE_2" localSheetId="6">担当者!$AM$106:$AM$116</definedName>
    <definedName name="FK_ENABLE_3" localSheetId="2">テンプレート!$AN$106:$AN$116</definedName>
    <definedName name="FK_ENABLE_3" localSheetId="3">受注!$AN$106:$AN$116</definedName>
    <definedName name="FK_ENABLE_3" localSheetId="4">受注明細!$AN$106:$AN$116</definedName>
    <definedName name="FK_ENABLE_3" localSheetId="5">商品!$AN$106:$AN$116</definedName>
    <definedName name="FK_ENABLE_3" localSheetId="6">担当者!$AN$106:$AN$116</definedName>
    <definedName name="FK_ENABLE_4" localSheetId="2">テンプレート!$AO$106:$AO$116</definedName>
    <definedName name="FK_ENABLE_4" localSheetId="3">受注!$AO$106:$AO$116</definedName>
    <definedName name="FK_ENABLE_4" localSheetId="4">受注明細!$AO$106:$AO$116</definedName>
    <definedName name="FK_ENABLE_4" localSheetId="5">商品!$AO$106:$AO$116</definedName>
    <definedName name="FK_ENABLE_4" localSheetId="6">担当者!$AO$106:$AO$116</definedName>
    <definedName name="FK_ENABLE_5" localSheetId="2">テンプレート!$AP$106:$AP$116</definedName>
    <definedName name="FK_ENABLE_5" localSheetId="3">受注!$AP$106:$AP$116</definedName>
    <definedName name="FK_ENABLE_5" localSheetId="4">受注明細!$AP$106:$AP$116</definedName>
    <definedName name="FK_ENABLE_5" localSheetId="5">商品!$AP$106:$AP$116</definedName>
    <definedName name="FK_ENABLE_5" localSheetId="6">担当者!$AP$106:$AP$116</definedName>
    <definedName name="FK_FIELD_1" localSheetId="2">OFFSET(テンプレート!$AL$6,,,テンプレート!$AL$5,)</definedName>
    <definedName name="FK_FIELD_1" localSheetId="3">OFFSET(受注!$AL$6,,,受注!$AL$5,)</definedName>
    <definedName name="FK_FIELD_1" localSheetId="4">OFFSET(受注明細!$AL$6,,,受注明細!$AL$5,)</definedName>
    <definedName name="FK_FIELD_1" localSheetId="5">OFFSET(商品!$AL$6,,,商品!$AL$5,)</definedName>
    <definedName name="FK_FIELD_1" localSheetId="6">OFFSET(担当者!$AL$6,,,担当者!$AL$5,)</definedName>
    <definedName name="FK_FIELD_2" localSheetId="2">OFFSET(テンプレート!$AM$6,,,テンプレート!$AM$5,)</definedName>
    <definedName name="FK_FIELD_2" localSheetId="3">OFFSET(受注!$AM$6,,,受注!$AM$5,)</definedName>
    <definedName name="FK_FIELD_2" localSheetId="4">OFFSET(受注明細!$AM$6,,,受注明細!$AM$5,)</definedName>
    <definedName name="FK_FIELD_2" localSheetId="5">OFFSET(商品!$AM$6,,,商品!$AM$5,)</definedName>
    <definedName name="FK_FIELD_2" localSheetId="6">OFFSET(担当者!$AM$6,,,担当者!$AM$5,)</definedName>
    <definedName name="FK_FIELD_3" localSheetId="2">OFFSET(テンプレート!$AN$6,,,テンプレート!$AN$5,)</definedName>
    <definedName name="FK_FIELD_3" localSheetId="3">OFFSET(受注!$AN$6,,,受注!$AN$5,)</definedName>
    <definedName name="FK_FIELD_3" localSheetId="4">OFFSET(受注明細!$AN$6,,,受注明細!$AN$5,)</definedName>
    <definedName name="FK_FIELD_3" localSheetId="5">OFFSET(商品!$AN$6,,,商品!$AN$5,)</definedName>
    <definedName name="FK_FIELD_3" localSheetId="6">OFFSET(担当者!$AN$6,,,担当者!$AN$5,)</definedName>
    <definedName name="FK_FIELD_4" localSheetId="2">OFFSET(テンプレート!$AO$6,,,テンプレート!$AO$5,)</definedName>
    <definedName name="FK_FIELD_4" localSheetId="3">OFFSET(受注!$AO$6,,,受注!$AO$5,)</definedName>
    <definedName name="FK_FIELD_4" localSheetId="4">OFFSET(受注明細!$AO$6,,,受注明細!$AO$5,)</definedName>
    <definedName name="FK_FIELD_4" localSheetId="5">OFFSET(商品!$AO$6,,,商品!$AO$5,)</definedName>
    <definedName name="FK_FIELD_4" localSheetId="6">OFFSET(担当者!$AO$6,,,担当者!$AO$5,)</definedName>
    <definedName name="FK_FIELD_5" localSheetId="2">OFFSET(テンプレート!$AP$6,,,テンプレート!$AP$5,)</definedName>
    <definedName name="FK_FIELD_5" localSheetId="3">OFFSET(受注!$AP$6,,,受注!$AP$5,)</definedName>
    <definedName name="FK_FIELD_5" localSheetId="4">OFFSET(受注明細!$AP$6,,,受注明細!$AP$5,)</definedName>
    <definedName name="FK_FIELD_5" localSheetId="5">OFFSET(商品!$AP$6,,,商品!$AP$5,)</definedName>
    <definedName name="FK_FIELD_5" localSheetId="6">OFFSET(担当者!$AP$6,,,担当者!$AP$5,)</definedName>
    <definedName name="FK_OPTION">WORK!$E$6:$E$9</definedName>
    <definedName name="INVALID">FALSE</definedName>
    <definedName name="IS_MASTER" localSheetId="2">テンプレート!$F$2</definedName>
    <definedName name="IS_MASTER" localSheetId="3">受注!$F$2</definedName>
    <definedName name="IS_MASTER" localSheetId="4">受注明細!$F$2</definedName>
    <definedName name="IS_MASTER" localSheetId="5">商品!$F$2</definedName>
    <definedName name="IS_MASTER" localSheetId="6">担当者!$F$2</definedName>
    <definedName name="MODIFY_DATETIME">45676.337025463</definedName>
    <definedName name="PK_AREA" localSheetId="2">テンプレート!$L$8:$P$8</definedName>
    <definedName name="PK_AREA" localSheetId="3">受注!$L$8:$P$8</definedName>
    <definedName name="PK_AREA" localSheetId="4">受注明細!$L$8:$P$8</definedName>
    <definedName name="PK_AREA" localSheetId="5">商品!$L$8:$P$8</definedName>
    <definedName name="PK_AREA" localSheetId="6">担当者!$L$8:$P$8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3">受注!$AK$6:$AK$105</definedName>
    <definedName name="TABLE_AREA" localSheetId="4">受注明細!$AK$6:$AK$105</definedName>
    <definedName name="TABLE_AREA" localSheetId="5">商品!$AK$6:$AK$105</definedName>
    <definedName name="TABLE_AREA" localSheetId="6">担当者!$AK$6:$AK$105</definedName>
    <definedName name="TABLE_COUNT" localSheetId="2">テンプレート!$AK$5</definedName>
    <definedName name="TABLE_COUNT" localSheetId="3">受注!$AK$5</definedName>
    <definedName name="TABLE_COUNT" localSheetId="4">受注明細!$AK$5</definedName>
    <definedName name="TABLE_COUNT" localSheetId="5">商品!$AK$5</definedName>
    <definedName name="TABLE_COUNT" localSheetId="6">担当者!$AK$5</definedName>
    <definedName name="TABLE_COUNT">#REF!</definedName>
    <definedName name="TABLE_EN" localSheetId="2">テンプレート!$C$2</definedName>
    <definedName name="TABLE_EN" localSheetId="3">受注!$C$2</definedName>
    <definedName name="TABLE_EN" localSheetId="4">受注明細!$C$2</definedName>
    <definedName name="TABLE_EN" localSheetId="5">商品!$C$2</definedName>
    <definedName name="TABLE_EN" localSheetId="6">担当者!$C$2</definedName>
    <definedName name="TABLE_JP" localSheetId="2">テンプレート!$B$2</definedName>
    <definedName name="TABLE_JP" localSheetId="3">受注!$B$2</definedName>
    <definedName name="TABLE_JP" localSheetId="4">受注明細!$B$2</definedName>
    <definedName name="TABLE_JP" localSheetId="5">商品!$B$2</definedName>
    <definedName name="TABLE_JP" localSheetId="6">担当者!$B$2</definedName>
    <definedName name="TABLE_NO" localSheetId="2">テンプレート!$D$2</definedName>
    <definedName name="TABLE_NO" localSheetId="3">受注!$D$2</definedName>
    <definedName name="TABLE_NO" localSheetId="4">受注明細!$D$2</definedName>
    <definedName name="TABLE_NO" localSheetId="5">商品!$D$2</definedName>
    <definedName name="TABLE_NO" localSheetId="6">担当者!$D$2</definedName>
    <definedName name="TABLEリスト" localSheetId="2">OFFSET(テンプレート!$AK$6,,,テンプレート!TABLE_COUNT,)</definedName>
    <definedName name="TABLEリスト" localSheetId="3">OFFSET(受注!$AK$6,,,受注!TABLE_COUNT,)</definedName>
    <definedName name="TABLEリスト" localSheetId="4">OFFSET(受注明細!$AK$6,,,受注明細!TABLE_COUNT,)</definedName>
    <definedName name="TABLEリスト" localSheetId="5">OFFSET(商品!$AK$6,,,商品!TABLE_COUNT,)</definedName>
    <definedName name="TABLEリスト" localSheetId="6">OFFSET(担当者!$AK$6,,,担当者!TABLE_COUNT,)</definedName>
    <definedName name="UNIQUE_AREA" localSheetId="2">テンプレート!$L$13:$P$22</definedName>
    <definedName name="UNIQUE_AREA" localSheetId="3">受注!$L$13:$P$22</definedName>
    <definedName name="UNIQUE_AREA" localSheetId="4">受注明細!$L$13:$P$22</definedName>
    <definedName name="UNIQUE_AREA" localSheetId="5">商品!$L$13:$P$22</definedName>
    <definedName name="UNIQUE_AREA" localSheetId="6">担当者!$L$13:$P$22</definedName>
    <definedName name="UNIQUE_EXIST" localSheetId="2">テンプレート!$R$11</definedName>
    <definedName name="UNIQUE_EXIST" localSheetId="3">受注!$R$11</definedName>
    <definedName name="UNIQUE_EXIST" localSheetId="4">受注明細!$R$11</definedName>
    <definedName name="UNIQUE_EXIST" localSheetId="5">商品!$R$11</definedName>
    <definedName name="UNIQUE_EXIST" localSheetId="6">担当者!$R$11</definedName>
    <definedName name="UNIQUE_LIST" localSheetId="2">テンプレート!$R$13:$R$22</definedName>
    <definedName name="UNIQUE_LIST" localSheetId="3">受注!$R$13:$R$22</definedName>
    <definedName name="UNIQUE_LIST" localSheetId="4">受注明細!$R$13:$R$22</definedName>
    <definedName name="UNIQUE_LIST" localSheetId="5">商品!$R$13:$R$22</definedName>
    <definedName name="UNIQUE_LIST" localSheetId="6">担当者!$R$13:$R$22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31" l="1"/>
  <c r="T105" i="231"/>
  <c r="H105" i="231"/>
  <c r="G105" i="231"/>
  <c r="D105" i="231"/>
  <c r="C105" i="231"/>
  <c r="U104" i="231"/>
  <c r="T104" i="231"/>
  <c r="H104" i="231"/>
  <c r="G104" i="231"/>
  <c r="D104" i="231"/>
  <c r="C104" i="231"/>
  <c r="U103" i="231"/>
  <c r="T103" i="231"/>
  <c r="H103" i="231"/>
  <c r="G103" i="231"/>
  <c r="D103" i="231"/>
  <c r="C103" i="231"/>
  <c r="U102" i="231"/>
  <c r="T102" i="231"/>
  <c r="H102" i="231"/>
  <c r="G102" i="231"/>
  <c r="D102" i="231"/>
  <c r="C102" i="231"/>
  <c r="U101" i="231"/>
  <c r="T101" i="231"/>
  <c r="H101" i="231"/>
  <c r="G101" i="231"/>
  <c r="D101" i="231"/>
  <c r="C101" i="231"/>
  <c r="U100" i="231"/>
  <c r="T100" i="231"/>
  <c r="H100" i="231"/>
  <c r="G100" i="231"/>
  <c r="D100" i="231"/>
  <c r="C100" i="231"/>
  <c r="U99" i="231"/>
  <c r="T99" i="231"/>
  <c r="H99" i="231"/>
  <c r="G99" i="231"/>
  <c r="D99" i="231"/>
  <c r="C99" i="231"/>
  <c r="U98" i="231"/>
  <c r="T98" i="231"/>
  <c r="H98" i="231"/>
  <c r="G98" i="231"/>
  <c r="D98" i="231"/>
  <c r="C98" i="231"/>
  <c r="U97" i="231"/>
  <c r="T97" i="231"/>
  <c r="H97" i="231"/>
  <c r="G97" i="231"/>
  <c r="D97" i="231"/>
  <c r="C97" i="231"/>
  <c r="U96" i="231"/>
  <c r="T96" i="231"/>
  <c r="H96" i="231"/>
  <c r="G96" i="231"/>
  <c r="D96" i="231"/>
  <c r="C96" i="231"/>
  <c r="U95" i="231"/>
  <c r="T95" i="231"/>
  <c r="H95" i="231"/>
  <c r="G95" i="231"/>
  <c r="D95" i="231"/>
  <c r="C95" i="231"/>
  <c r="U94" i="231"/>
  <c r="T94" i="231"/>
  <c r="H94" i="231"/>
  <c r="G94" i="231"/>
  <c r="D94" i="231"/>
  <c r="C94" i="231"/>
  <c r="U93" i="231"/>
  <c r="T93" i="231"/>
  <c r="H93" i="231"/>
  <c r="G93" i="231"/>
  <c r="D93" i="231"/>
  <c r="C93" i="231"/>
  <c r="U92" i="231"/>
  <c r="T92" i="231"/>
  <c r="H92" i="231"/>
  <c r="G92" i="231"/>
  <c r="D92" i="231"/>
  <c r="C92" i="231"/>
  <c r="U91" i="231"/>
  <c r="T91" i="231"/>
  <c r="H91" i="231"/>
  <c r="G91" i="231"/>
  <c r="D91" i="231"/>
  <c r="C91" i="231"/>
  <c r="U90" i="231"/>
  <c r="T90" i="231"/>
  <c r="H90" i="231"/>
  <c r="G90" i="231"/>
  <c r="D90" i="231"/>
  <c r="C90" i="231"/>
  <c r="U89" i="231"/>
  <c r="T89" i="231"/>
  <c r="H89" i="231"/>
  <c r="G89" i="231"/>
  <c r="D89" i="231"/>
  <c r="C89" i="231"/>
  <c r="U88" i="231"/>
  <c r="T88" i="231"/>
  <c r="H88" i="231"/>
  <c r="G88" i="231"/>
  <c r="D88" i="231"/>
  <c r="C88" i="231"/>
  <c r="U87" i="231"/>
  <c r="T87" i="231"/>
  <c r="H87" i="231"/>
  <c r="G87" i="231"/>
  <c r="D87" i="231"/>
  <c r="C87" i="231"/>
  <c r="U86" i="231"/>
  <c r="T86" i="231"/>
  <c r="H86" i="231"/>
  <c r="G86" i="231"/>
  <c r="D86" i="231"/>
  <c r="C86" i="231"/>
  <c r="U85" i="231"/>
  <c r="T85" i="231"/>
  <c r="H85" i="231"/>
  <c r="G85" i="231"/>
  <c r="D85" i="231"/>
  <c r="C85" i="231"/>
  <c r="U84" i="231"/>
  <c r="T84" i="231"/>
  <c r="H84" i="231"/>
  <c r="G84" i="231"/>
  <c r="D84" i="231"/>
  <c r="C84" i="231"/>
  <c r="U83" i="231"/>
  <c r="T83" i="231"/>
  <c r="H83" i="231"/>
  <c r="G83" i="231"/>
  <c r="D83" i="231"/>
  <c r="C83" i="231"/>
  <c r="U82" i="231"/>
  <c r="T82" i="231"/>
  <c r="H82" i="231"/>
  <c r="G82" i="231"/>
  <c r="D82" i="231"/>
  <c r="C82" i="231"/>
  <c r="U81" i="231"/>
  <c r="T81" i="231"/>
  <c r="H81" i="231"/>
  <c r="G81" i="231"/>
  <c r="D81" i="231"/>
  <c r="C81" i="231"/>
  <c r="U80" i="231"/>
  <c r="T80" i="231"/>
  <c r="H80" i="231"/>
  <c r="G80" i="231"/>
  <c r="D80" i="231"/>
  <c r="C80" i="231"/>
  <c r="U79" i="231"/>
  <c r="T79" i="231"/>
  <c r="H79" i="231"/>
  <c r="G79" i="231"/>
  <c r="D79" i="231"/>
  <c r="C79" i="231"/>
  <c r="U78" i="231"/>
  <c r="T78" i="231"/>
  <c r="H78" i="231"/>
  <c r="G78" i="231"/>
  <c r="D78" i="231"/>
  <c r="C78" i="231"/>
  <c r="U77" i="231"/>
  <c r="T77" i="231"/>
  <c r="H77" i="231"/>
  <c r="G77" i="231"/>
  <c r="D77" i="231"/>
  <c r="C77" i="231"/>
  <c r="U76" i="231"/>
  <c r="T76" i="231"/>
  <c r="H76" i="231"/>
  <c r="G76" i="231"/>
  <c r="D76" i="231"/>
  <c r="C76" i="231"/>
  <c r="U75" i="231"/>
  <c r="T75" i="231"/>
  <c r="H75" i="231"/>
  <c r="G75" i="231"/>
  <c r="D75" i="231"/>
  <c r="C75" i="231"/>
  <c r="U74" i="231"/>
  <c r="T74" i="231"/>
  <c r="H74" i="231"/>
  <c r="G74" i="231"/>
  <c r="D74" i="231"/>
  <c r="C74" i="231"/>
  <c r="U73" i="231"/>
  <c r="T73" i="231"/>
  <c r="H73" i="231"/>
  <c r="G73" i="231"/>
  <c r="D73" i="231"/>
  <c r="C73" i="231"/>
  <c r="U72" i="231"/>
  <c r="T72" i="231"/>
  <c r="H72" i="231"/>
  <c r="G72" i="231"/>
  <c r="D72" i="231"/>
  <c r="C72" i="231"/>
  <c r="U71" i="231"/>
  <c r="T71" i="231"/>
  <c r="H71" i="231"/>
  <c r="G71" i="231"/>
  <c r="D71" i="231"/>
  <c r="C71" i="231"/>
  <c r="U70" i="231"/>
  <c r="T70" i="231"/>
  <c r="H70" i="231"/>
  <c r="G70" i="231"/>
  <c r="D70" i="231"/>
  <c r="C70" i="231"/>
  <c r="U69" i="231"/>
  <c r="T69" i="231"/>
  <c r="H69" i="231"/>
  <c r="G69" i="231"/>
  <c r="D69" i="231"/>
  <c r="C69" i="231"/>
  <c r="U68" i="231"/>
  <c r="T68" i="231"/>
  <c r="H68" i="231"/>
  <c r="G68" i="231"/>
  <c r="D68" i="231"/>
  <c r="C68" i="231"/>
  <c r="U67" i="231"/>
  <c r="T67" i="231"/>
  <c r="H67" i="231"/>
  <c r="G67" i="231"/>
  <c r="D67" i="231"/>
  <c r="C67" i="231"/>
  <c r="U66" i="231"/>
  <c r="T66" i="231"/>
  <c r="H66" i="231"/>
  <c r="G66" i="231"/>
  <c r="D66" i="231"/>
  <c r="C66" i="231"/>
  <c r="U65" i="231"/>
  <c r="T65" i="231"/>
  <c r="H65" i="231"/>
  <c r="G65" i="231"/>
  <c r="D65" i="231"/>
  <c r="C65" i="231"/>
  <c r="U64" i="231"/>
  <c r="T64" i="231"/>
  <c r="H64" i="231"/>
  <c r="G64" i="231"/>
  <c r="D64" i="231"/>
  <c r="C64" i="231"/>
  <c r="U63" i="231"/>
  <c r="T63" i="231"/>
  <c r="R63" i="231"/>
  <c r="AD63" i="231" s="1"/>
  <c r="H63" i="231"/>
  <c r="G63" i="231"/>
  <c r="D63" i="231"/>
  <c r="C63" i="231"/>
  <c r="U62" i="231"/>
  <c r="T62" i="231"/>
  <c r="H62" i="231"/>
  <c r="G62" i="231"/>
  <c r="D62" i="231"/>
  <c r="C62" i="231"/>
  <c r="U61" i="231"/>
  <c r="T61" i="231"/>
  <c r="R61" i="231"/>
  <c r="AD61" i="231" s="1"/>
  <c r="H61" i="231"/>
  <c r="G61" i="231"/>
  <c r="D61" i="231"/>
  <c r="C61" i="231"/>
  <c r="U60" i="231"/>
  <c r="T60" i="231"/>
  <c r="H60" i="231"/>
  <c r="G60" i="231"/>
  <c r="D60" i="231"/>
  <c r="C60" i="231"/>
  <c r="U59" i="231"/>
  <c r="T59" i="231"/>
  <c r="R59" i="231"/>
  <c r="AD59" i="231" s="1"/>
  <c r="H59" i="231"/>
  <c r="G59" i="231"/>
  <c r="D59" i="231"/>
  <c r="C59" i="231"/>
  <c r="U58" i="231"/>
  <c r="T58" i="231"/>
  <c r="H58" i="231"/>
  <c r="G58" i="231"/>
  <c r="D58" i="231"/>
  <c r="C58" i="231"/>
  <c r="U57" i="231"/>
  <c r="T57" i="231"/>
  <c r="R57" i="231"/>
  <c r="AD57" i="231" s="1"/>
  <c r="H57" i="231"/>
  <c r="G57" i="231"/>
  <c r="D57" i="231"/>
  <c r="C57" i="231"/>
  <c r="U56" i="231"/>
  <c r="T56" i="231"/>
  <c r="H56" i="231"/>
  <c r="G56" i="231"/>
  <c r="D56" i="231"/>
  <c r="C56" i="231"/>
  <c r="U55" i="231"/>
  <c r="T55" i="231"/>
  <c r="R55" i="231"/>
  <c r="AD55" i="231" s="1"/>
  <c r="H55" i="231"/>
  <c r="G55" i="231"/>
  <c r="D55" i="231"/>
  <c r="C55" i="231"/>
  <c r="U54" i="231"/>
  <c r="T54" i="231"/>
  <c r="H54" i="231"/>
  <c r="G54" i="231"/>
  <c r="D54" i="231"/>
  <c r="C54" i="231"/>
  <c r="U53" i="231"/>
  <c r="T53" i="231"/>
  <c r="H53" i="231"/>
  <c r="G53" i="231"/>
  <c r="D53" i="231"/>
  <c r="C53" i="231"/>
  <c r="U52" i="231"/>
  <c r="T52" i="231"/>
  <c r="H52" i="231"/>
  <c r="G52" i="231"/>
  <c r="D52" i="231"/>
  <c r="C52" i="231"/>
  <c r="U51" i="231"/>
  <c r="T51" i="231"/>
  <c r="H51" i="231"/>
  <c r="G51" i="231"/>
  <c r="D51" i="231"/>
  <c r="C51" i="231"/>
  <c r="AC50" i="231"/>
  <c r="AB50" i="231"/>
  <c r="AA50" i="231"/>
  <c r="Z50" i="231"/>
  <c r="Y50" i="231"/>
  <c r="U50" i="231"/>
  <c r="T50" i="231"/>
  <c r="H50" i="231"/>
  <c r="G50" i="231"/>
  <c r="D50" i="231"/>
  <c r="C50" i="231"/>
  <c r="AC49" i="231"/>
  <c r="AB49" i="231"/>
  <c r="AA49" i="231"/>
  <c r="Z49" i="231"/>
  <c r="Y49" i="231"/>
  <c r="U49" i="231"/>
  <c r="T49" i="231"/>
  <c r="R49" i="231"/>
  <c r="H49" i="231"/>
  <c r="G49" i="231"/>
  <c r="D49" i="231"/>
  <c r="C49" i="231"/>
  <c r="U48" i="231"/>
  <c r="T48" i="231"/>
  <c r="H48" i="231"/>
  <c r="G48" i="231"/>
  <c r="D48" i="231"/>
  <c r="C48" i="231"/>
  <c r="U47" i="231"/>
  <c r="T47" i="231"/>
  <c r="S47" i="231"/>
  <c r="R47" i="231"/>
  <c r="H47" i="231"/>
  <c r="G47" i="231"/>
  <c r="D47" i="231"/>
  <c r="C47" i="231"/>
  <c r="AD46" i="231"/>
  <c r="U46" i="231"/>
  <c r="T46" i="231"/>
  <c r="H46" i="231"/>
  <c r="G46" i="231"/>
  <c r="D46" i="231"/>
  <c r="C46" i="231"/>
  <c r="AC45" i="231"/>
  <c r="AB45" i="231"/>
  <c r="AA45" i="231"/>
  <c r="Z45" i="231"/>
  <c r="Y45" i="231"/>
  <c r="U45" i="231"/>
  <c r="T45" i="231"/>
  <c r="H45" i="231"/>
  <c r="G45" i="231"/>
  <c r="D45" i="231"/>
  <c r="C45" i="231"/>
  <c r="AC44" i="231"/>
  <c r="AB44" i="231"/>
  <c r="AA44" i="231"/>
  <c r="Z44" i="231"/>
  <c r="Y44" i="231"/>
  <c r="U44" i="231"/>
  <c r="T44" i="231"/>
  <c r="R44" i="231"/>
  <c r="H44" i="231"/>
  <c r="G44" i="231"/>
  <c r="D44" i="231"/>
  <c r="C44" i="231"/>
  <c r="U43" i="231"/>
  <c r="T43" i="231"/>
  <c r="H43" i="231"/>
  <c r="G43" i="231"/>
  <c r="D43" i="231"/>
  <c r="C43" i="231"/>
  <c r="U42" i="231"/>
  <c r="T42" i="231"/>
  <c r="R42" i="231"/>
  <c r="S42" i="231" s="1"/>
  <c r="H42" i="231"/>
  <c r="G42" i="231"/>
  <c r="D42" i="231"/>
  <c r="C42" i="231"/>
  <c r="AD41" i="231"/>
  <c r="U41" i="231"/>
  <c r="T41" i="231"/>
  <c r="H41" i="231"/>
  <c r="G41" i="231"/>
  <c r="D41" i="231"/>
  <c r="C41" i="231"/>
  <c r="AC40" i="231"/>
  <c r="AB40" i="231"/>
  <c r="AA40" i="231"/>
  <c r="Z40" i="231"/>
  <c r="Y40" i="231"/>
  <c r="U40" i="231"/>
  <c r="T40" i="231"/>
  <c r="H40" i="231"/>
  <c r="G40" i="231"/>
  <c r="D40" i="231"/>
  <c r="C40" i="231"/>
  <c r="AC39" i="231"/>
  <c r="AB39" i="231"/>
  <c r="AA39" i="231"/>
  <c r="Z39" i="231"/>
  <c r="Y39" i="231"/>
  <c r="U39" i="231"/>
  <c r="T39" i="231"/>
  <c r="R39" i="231"/>
  <c r="H39" i="231"/>
  <c r="G39" i="231"/>
  <c r="D39" i="231"/>
  <c r="C39" i="231"/>
  <c r="U38" i="231"/>
  <c r="T38" i="231"/>
  <c r="H38" i="231"/>
  <c r="G38" i="231"/>
  <c r="D38" i="231"/>
  <c r="C38" i="231"/>
  <c r="U37" i="231"/>
  <c r="T37" i="231"/>
  <c r="R37" i="231"/>
  <c r="S37" i="231" s="1"/>
  <c r="H37" i="231"/>
  <c r="G37" i="231"/>
  <c r="D37" i="231"/>
  <c r="C37" i="231"/>
  <c r="AD36" i="231"/>
  <c r="U36" i="231"/>
  <c r="T36" i="231"/>
  <c r="H36" i="231"/>
  <c r="G36" i="231"/>
  <c r="D36" i="231"/>
  <c r="C36" i="231"/>
  <c r="AC35" i="231"/>
  <c r="AB35" i="231"/>
  <c r="AA35" i="231"/>
  <c r="Z35" i="231"/>
  <c r="Y35" i="231"/>
  <c r="U35" i="231"/>
  <c r="T35" i="231"/>
  <c r="H35" i="231"/>
  <c r="G35" i="231"/>
  <c r="D35" i="231"/>
  <c r="C35" i="231"/>
  <c r="AC34" i="231"/>
  <c r="AB34" i="231"/>
  <c r="AA34" i="231"/>
  <c r="Z34" i="231"/>
  <c r="Y34" i="231"/>
  <c r="U34" i="231"/>
  <c r="T34" i="231"/>
  <c r="R34" i="231"/>
  <c r="H34" i="231"/>
  <c r="G34" i="231"/>
  <c r="D34" i="231"/>
  <c r="C34" i="231"/>
  <c r="U33" i="231"/>
  <c r="T33" i="231"/>
  <c r="H33" i="231"/>
  <c r="G33" i="231"/>
  <c r="D33" i="231"/>
  <c r="C33" i="231"/>
  <c r="U32" i="231"/>
  <c r="T32" i="231"/>
  <c r="R32" i="231"/>
  <c r="AD31" i="231" s="1"/>
  <c r="AG14" i="231" s="1"/>
  <c r="H32" i="231"/>
  <c r="G32" i="231"/>
  <c r="D32" i="231"/>
  <c r="C32" i="231"/>
  <c r="U31" i="231"/>
  <c r="T31" i="231"/>
  <c r="H31" i="231"/>
  <c r="G31" i="231"/>
  <c r="D31" i="231"/>
  <c r="C31" i="231"/>
  <c r="AC30" i="231"/>
  <c r="AB30" i="231"/>
  <c r="AA30" i="231"/>
  <c r="Z30" i="231"/>
  <c r="Y30" i="231"/>
  <c r="U30" i="231"/>
  <c r="T30" i="231"/>
  <c r="H30" i="231"/>
  <c r="G30" i="231"/>
  <c r="D30" i="231"/>
  <c r="C30" i="231"/>
  <c r="AC29" i="231"/>
  <c r="AB29" i="231"/>
  <c r="AA29" i="231"/>
  <c r="Z29" i="231"/>
  <c r="Y29" i="231"/>
  <c r="U29" i="231"/>
  <c r="T29" i="231"/>
  <c r="R29" i="231"/>
  <c r="H29" i="231"/>
  <c r="G29" i="231"/>
  <c r="D29" i="231"/>
  <c r="C29" i="231"/>
  <c r="U28" i="231"/>
  <c r="T28" i="231"/>
  <c r="H28" i="231"/>
  <c r="G28" i="231"/>
  <c r="D28" i="231"/>
  <c r="C28" i="231"/>
  <c r="U27" i="231"/>
  <c r="T27" i="231"/>
  <c r="S27" i="231"/>
  <c r="R27" i="231"/>
  <c r="H27" i="231"/>
  <c r="G27" i="231"/>
  <c r="D27" i="231"/>
  <c r="C27" i="231"/>
  <c r="AD26" i="231"/>
  <c r="U26" i="231"/>
  <c r="T26" i="231"/>
  <c r="H26" i="231"/>
  <c r="G26" i="231"/>
  <c r="D26" i="231"/>
  <c r="C26" i="231"/>
  <c r="U25" i="231"/>
  <c r="T25" i="231"/>
  <c r="H25" i="231"/>
  <c r="G25" i="231"/>
  <c r="D25" i="231"/>
  <c r="C25" i="231"/>
  <c r="U24" i="231"/>
  <c r="T24" i="231"/>
  <c r="H24" i="231"/>
  <c r="G24" i="231"/>
  <c r="D24" i="231"/>
  <c r="C24" i="231"/>
  <c r="U23" i="231"/>
  <c r="T23" i="231"/>
  <c r="H23" i="231"/>
  <c r="G23" i="231"/>
  <c r="D23" i="231"/>
  <c r="C23" i="231"/>
  <c r="U22" i="231"/>
  <c r="T22" i="231"/>
  <c r="R22" i="231"/>
  <c r="AD22" i="231" s="1"/>
  <c r="H22" i="231"/>
  <c r="G22" i="231"/>
  <c r="D22" i="231"/>
  <c r="C22" i="231"/>
  <c r="U21" i="231"/>
  <c r="T21" i="231"/>
  <c r="R21" i="231"/>
  <c r="AD21" i="231" s="1"/>
  <c r="H21" i="231"/>
  <c r="G21" i="231"/>
  <c r="D21" i="231"/>
  <c r="C21" i="231"/>
  <c r="U20" i="231"/>
  <c r="T20" i="231"/>
  <c r="R20" i="231"/>
  <c r="AD20" i="231" s="1"/>
  <c r="H20" i="231"/>
  <c r="G20" i="231"/>
  <c r="D20" i="231"/>
  <c r="C20" i="231"/>
  <c r="U19" i="231"/>
  <c r="T19" i="231"/>
  <c r="R19" i="231"/>
  <c r="AD19" i="231" s="1"/>
  <c r="H19" i="231"/>
  <c r="G19" i="231"/>
  <c r="D19" i="231"/>
  <c r="C19" i="231"/>
  <c r="U18" i="231"/>
  <c r="T18" i="231"/>
  <c r="R18" i="231"/>
  <c r="AD18" i="231" s="1"/>
  <c r="H18" i="231"/>
  <c r="G18" i="231"/>
  <c r="D18" i="231"/>
  <c r="C18" i="231"/>
  <c r="U17" i="231"/>
  <c r="T17" i="231"/>
  <c r="R17" i="231"/>
  <c r="AD17" i="231" s="1"/>
  <c r="H17" i="231"/>
  <c r="G17" i="231"/>
  <c r="D17" i="231"/>
  <c r="C17" i="231"/>
  <c r="U16" i="231"/>
  <c r="T16" i="231"/>
  <c r="R16" i="231"/>
  <c r="AD16" i="231" s="1"/>
  <c r="H16" i="231"/>
  <c r="G16" i="231"/>
  <c r="D16" i="231"/>
  <c r="C16" i="231"/>
  <c r="U15" i="231"/>
  <c r="T15" i="231"/>
  <c r="R15" i="231"/>
  <c r="AD15" i="231" s="1"/>
  <c r="H15" i="231"/>
  <c r="G15" i="231"/>
  <c r="D15" i="231"/>
  <c r="C15" i="231"/>
  <c r="U14" i="231"/>
  <c r="T14" i="231"/>
  <c r="R14" i="231"/>
  <c r="AD14" i="231" s="1"/>
  <c r="H14" i="231"/>
  <c r="G14" i="231"/>
  <c r="D14" i="231"/>
  <c r="C14" i="231"/>
  <c r="U13" i="231"/>
  <c r="T13" i="231"/>
  <c r="R13" i="231"/>
  <c r="AD13" i="231" s="1"/>
  <c r="H13" i="231"/>
  <c r="G13" i="231"/>
  <c r="D13" i="231"/>
  <c r="C13" i="231"/>
  <c r="U12" i="231"/>
  <c r="T12" i="231"/>
  <c r="H12" i="231"/>
  <c r="G12" i="231"/>
  <c r="D12" i="231"/>
  <c r="C12" i="231"/>
  <c r="U11" i="231"/>
  <c r="T11" i="231"/>
  <c r="H11" i="231"/>
  <c r="G11" i="231"/>
  <c r="D11" i="231"/>
  <c r="C11" i="231"/>
  <c r="U10" i="231"/>
  <c r="T10" i="231"/>
  <c r="H10" i="231"/>
  <c r="G10" i="231"/>
  <c r="D10" i="231"/>
  <c r="C10" i="231"/>
  <c r="U9" i="231"/>
  <c r="T9" i="231"/>
  <c r="H9" i="231"/>
  <c r="G9" i="231"/>
  <c r="D9" i="231"/>
  <c r="C9" i="231"/>
  <c r="AC8" i="231"/>
  <c r="AB8" i="231"/>
  <c r="AA8" i="231"/>
  <c r="Z8" i="231"/>
  <c r="Y8" i="231"/>
  <c r="U8" i="231"/>
  <c r="T8" i="231"/>
  <c r="R8" i="231"/>
  <c r="H8" i="231"/>
  <c r="G8" i="231"/>
  <c r="D8" i="231"/>
  <c r="C8" i="231"/>
  <c r="AG7" i="231"/>
  <c r="U7" i="231"/>
  <c r="T7" i="231"/>
  <c r="H7" i="231"/>
  <c r="G7" i="231"/>
  <c r="D7" i="231"/>
  <c r="C7" i="231"/>
  <c r="AQ6" i="231"/>
  <c r="U6" i="231"/>
  <c r="T6" i="231"/>
  <c r="H6" i="231"/>
  <c r="G6" i="231"/>
  <c r="D6" i="231"/>
  <c r="C6" i="231"/>
  <c r="AK5" i="231"/>
  <c r="AJ5" i="231"/>
  <c r="Z7" i="231" s="1"/>
  <c r="AI5" i="231"/>
  <c r="Y61" i="231" s="1"/>
  <c r="AG3" i="231"/>
  <c r="C2" i="231" a="1"/>
  <c r="C2" i="231" s="1"/>
  <c r="B2" i="231" a="1"/>
  <c r="B2" i="231" s="1"/>
  <c r="C1" i="231"/>
  <c r="B1" i="231"/>
  <c r="U105" i="230"/>
  <c r="T105" i="230"/>
  <c r="H105" i="230"/>
  <c r="G105" i="230"/>
  <c r="D105" i="230"/>
  <c r="C105" i="230"/>
  <c r="U104" i="230"/>
  <c r="T104" i="230"/>
  <c r="H104" i="230"/>
  <c r="G104" i="230"/>
  <c r="D104" i="230"/>
  <c r="C104" i="230"/>
  <c r="U103" i="230"/>
  <c r="T103" i="230"/>
  <c r="H103" i="230"/>
  <c r="G103" i="230"/>
  <c r="D103" i="230"/>
  <c r="C103" i="230"/>
  <c r="U102" i="230"/>
  <c r="T102" i="230"/>
  <c r="H102" i="230"/>
  <c r="G102" i="230"/>
  <c r="D102" i="230"/>
  <c r="C102" i="230"/>
  <c r="U101" i="230"/>
  <c r="T101" i="230"/>
  <c r="H101" i="230"/>
  <c r="G101" i="230"/>
  <c r="D101" i="230"/>
  <c r="C101" i="230"/>
  <c r="U100" i="230"/>
  <c r="T100" i="230"/>
  <c r="H100" i="230"/>
  <c r="G100" i="230"/>
  <c r="D100" i="230"/>
  <c r="C100" i="230"/>
  <c r="U99" i="230"/>
  <c r="T99" i="230"/>
  <c r="H99" i="230"/>
  <c r="G99" i="230"/>
  <c r="D99" i="230"/>
  <c r="C99" i="230"/>
  <c r="U98" i="230"/>
  <c r="T98" i="230"/>
  <c r="H98" i="230"/>
  <c r="G98" i="230"/>
  <c r="D98" i="230"/>
  <c r="C98" i="230"/>
  <c r="U97" i="230"/>
  <c r="T97" i="230"/>
  <c r="H97" i="230"/>
  <c r="G97" i="230"/>
  <c r="D97" i="230"/>
  <c r="C97" i="230"/>
  <c r="U96" i="230"/>
  <c r="T96" i="230"/>
  <c r="H96" i="230"/>
  <c r="G96" i="230"/>
  <c r="D96" i="230"/>
  <c r="C96" i="230"/>
  <c r="U95" i="230"/>
  <c r="T95" i="230"/>
  <c r="H95" i="230"/>
  <c r="G95" i="230"/>
  <c r="D95" i="230"/>
  <c r="C95" i="230"/>
  <c r="U94" i="230"/>
  <c r="T94" i="230"/>
  <c r="H94" i="230"/>
  <c r="G94" i="230"/>
  <c r="D94" i="230"/>
  <c r="C94" i="230"/>
  <c r="U93" i="230"/>
  <c r="T93" i="230"/>
  <c r="H93" i="230"/>
  <c r="G93" i="230"/>
  <c r="D93" i="230"/>
  <c r="C93" i="230"/>
  <c r="U92" i="230"/>
  <c r="T92" i="230"/>
  <c r="H92" i="230"/>
  <c r="G92" i="230"/>
  <c r="D92" i="230"/>
  <c r="C92" i="230"/>
  <c r="U91" i="230"/>
  <c r="T91" i="230"/>
  <c r="H91" i="230"/>
  <c r="G91" i="230"/>
  <c r="D91" i="230"/>
  <c r="C91" i="230"/>
  <c r="U90" i="230"/>
  <c r="T90" i="230"/>
  <c r="H90" i="230"/>
  <c r="G90" i="230"/>
  <c r="D90" i="230"/>
  <c r="C90" i="230"/>
  <c r="U89" i="230"/>
  <c r="T89" i="230"/>
  <c r="H89" i="230"/>
  <c r="G89" i="230"/>
  <c r="D89" i="230"/>
  <c r="C89" i="230"/>
  <c r="U88" i="230"/>
  <c r="T88" i="230"/>
  <c r="H88" i="230"/>
  <c r="G88" i="230"/>
  <c r="D88" i="230"/>
  <c r="C88" i="230"/>
  <c r="U87" i="230"/>
  <c r="T87" i="230"/>
  <c r="H87" i="230"/>
  <c r="G87" i="230"/>
  <c r="D87" i="230"/>
  <c r="C87" i="230"/>
  <c r="U86" i="230"/>
  <c r="T86" i="230"/>
  <c r="H86" i="230"/>
  <c r="G86" i="230"/>
  <c r="D86" i="230"/>
  <c r="C86" i="230"/>
  <c r="U85" i="230"/>
  <c r="T85" i="230"/>
  <c r="H85" i="230"/>
  <c r="G85" i="230"/>
  <c r="D85" i="230"/>
  <c r="C85" i="230"/>
  <c r="U84" i="230"/>
  <c r="T84" i="230"/>
  <c r="H84" i="230"/>
  <c r="G84" i="230"/>
  <c r="D84" i="230"/>
  <c r="C84" i="230"/>
  <c r="U83" i="230"/>
  <c r="T83" i="230"/>
  <c r="H83" i="230"/>
  <c r="G83" i="230"/>
  <c r="D83" i="230"/>
  <c r="C83" i="230"/>
  <c r="U82" i="230"/>
  <c r="T82" i="230"/>
  <c r="H82" i="230"/>
  <c r="G82" i="230"/>
  <c r="D82" i="230"/>
  <c r="C82" i="230"/>
  <c r="U81" i="230"/>
  <c r="T81" i="230"/>
  <c r="H81" i="230"/>
  <c r="G81" i="230"/>
  <c r="D81" i="230"/>
  <c r="C81" i="230"/>
  <c r="U80" i="230"/>
  <c r="T80" i="230"/>
  <c r="H80" i="230"/>
  <c r="G80" i="230"/>
  <c r="D80" i="230"/>
  <c r="C80" i="230"/>
  <c r="U79" i="230"/>
  <c r="T79" i="230"/>
  <c r="H79" i="230"/>
  <c r="G79" i="230"/>
  <c r="D79" i="230"/>
  <c r="C79" i="230"/>
  <c r="U78" i="230"/>
  <c r="T78" i="230"/>
  <c r="H78" i="230"/>
  <c r="G78" i="230"/>
  <c r="D78" i="230"/>
  <c r="C78" i="230"/>
  <c r="U77" i="230"/>
  <c r="T77" i="230"/>
  <c r="H77" i="230"/>
  <c r="G77" i="230"/>
  <c r="D77" i="230"/>
  <c r="C77" i="230"/>
  <c r="U76" i="230"/>
  <c r="T76" i="230"/>
  <c r="H76" i="230"/>
  <c r="G76" i="230"/>
  <c r="D76" i="230"/>
  <c r="C76" i="230"/>
  <c r="U75" i="230"/>
  <c r="T75" i="230"/>
  <c r="H75" i="230"/>
  <c r="G75" i="230"/>
  <c r="D75" i="230"/>
  <c r="C75" i="230"/>
  <c r="U74" i="230"/>
  <c r="T74" i="230"/>
  <c r="H74" i="230"/>
  <c r="G74" i="230"/>
  <c r="D74" i="230"/>
  <c r="C74" i="230"/>
  <c r="U73" i="230"/>
  <c r="T73" i="230"/>
  <c r="H73" i="230"/>
  <c r="G73" i="230"/>
  <c r="D73" i="230"/>
  <c r="C73" i="230"/>
  <c r="U72" i="230"/>
  <c r="T72" i="230"/>
  <c r="H72" i="230"/>
  <c r="G72" i="230"/>
  <c r="D72" i="230"/>
  <c r="C72" i="230"/>
  <c r="U71" i="230"/>
  <c r="T71" i="230"/>
  <c r="H71" i="230"/>
  <c r="G71" i="230"/>
  <c r="D71" i="230"/>
  <c r="C71" i="230"/>
  <c r="U70" i="230"/>
  <c r="T70" i="230"/>
  <c r="H70" i="230"/>
  <c r="G70" i="230"/>
  <c r="D70" i="230"/>
  <c r="C70" i="230"/>
  <c r="U69" i="230"/>
  <c r="T69" i="230"/>
  <c r="H69" i="230"/>
  <c r="G69" i="230"/>
  <c r="D69" i="230"/>
  <c r="C69" i="230"/>
  <c r="U68" i="230"/>
  <c r="T68" i="230"/>
  <c r="H68" i="230"/>
  <c r="G68" i="230"/>
  <c r="D68" i="230"/>
  <c r="C68" i="230"/>
  <c r="U67" i="230"/>
  <c r="T67" i="230"/>
  <c r="H67" i="230"/>
  <c r="G67" i="230"/>
  <c r="D67" i="230"/>
  <c r="C67" i="230"/>
  <c r="U66" i="230"/>
  <c r="T66" i="230"/>
  <c r="H66" i="230"/>
  <c r="G66" i="230"/>
  <c r="D66" i="230"/>
  <c r="C66" i="230"/>
  <c r="U65" i="230"/>
  <c r="T65" i="230"/>
  <c r="H65" i="230"/>
  <c r="G65" i="230"/>
  <c r="D65" i="230"/>
  <c r="C65" i="230"/>
  <c r="U64" i="230"/>
  <c r="T64" i="230"/>
  <c r="H64" i="230"/>
  <c r="G64" i="230"/>
  <c r="D64" i="230"/>
  <c r="C64" i="230"/>
  <c r="U63" i="230"/>
  <c r="T63" i="230"/>
  <c r="R63" i="230"/>
  <c r="AD63" i="230" s="1"/>
  <c r="H63" i="230"/>
  <c r="G63" i="230"/>
  <c r="D63" i="230"/>
  <c r="C63" i="230"/>
  <c r="U62" i="230"/>
  <c r="T62" i="230"/>
  <c r="H62" i="230"/>
  <c r="G62" i="230"/>
  <c r="D62" i="230"/>
  <c r="C62" i="230"/>
  <c r="U61" i="230"/>
  <c r="T61" i="230"/>
  <c r="R61" i="230"/>
  <c r="AD61" i="230" s="1"/>
  <c r="H61" i="230"/>
  <c r="G61" i="230"/>
  <c r="D61" i="230"/>
  <c r="C61" i="230"/>
  <c r="U60" i="230"/>
  <c r="T60" i="230"/>
  <c r="H60" i="230"/>
  <c r="G60" i="230"/>
  <c r="D60" i="230"/>
  <c r="C60" i="230"/>
  <c r="U59" i="230"/>
  <c r="T59" i="230"/>
  <c r="R59" i="230"/>
  <c r="AD59" i="230" s="1"/>
  <c r="H59" i="230"/>
  <c r="G59" i="230"/>
  <c r="D59" i="230"/>
  <c r="C59" i="230"/>
  <c r="U58" i="230"/>
  <c r="T58" i="230"/>
  <c r="H58" i="230"/>
  <c r="G58" i="230"/>
  <c r="D58" i="230"/>
  <c r="C58" i="230"/>
  <c r="U57" i="230"/>
  <c r="T57" i="230"/>
  <c r="R57" i="230"/>
  <c r="AD57" i="230" s="1"/>
  <c r="H57" i="230"/>
  <c r="G57" i="230"/>
  <c r="D57" i="230"/>
  <c r="C57" i="230"/>
  <c r="U56" i="230"/>
  <c r="T56" i="230"/>
  <c r="H56" i="230"/>
  <c r="G56" i="230"/>
  <c r="D56" i="230"/>
  <c r="C56" i="230"/>
  <c r="U55" i="230"/>
  <c r="T55" i="230"/>
  <c r="R55" i="230"/>
  <c r="AD55" i="230" s="1"/>
  <c r="H55" i="230"/>
  <c r="G55" i="230"/>
  <c r="D55" i="230"/>
  <c r="C55" i="230"/>
  <c r="U54" i="230"/>
  <c r="T54" i="230"/>
  <c r="H54" i="230"/>
  <c r="G54" i="230"/>
  <c r="D54" i="230"/>
  <c r="C54" i="230"/>
  <c r="U53" i="230"/>
  <c r="T53" i="230"/>
  <c r="H53" i="230"/>
  <c r="G53" i="230"/>
  <c r="D53" i="230"/>
  <c r="C53" i="230"/>
  <c r="U52" i="230"/>
  <c r="T52" i="230"/>
  <c r="H52" i="230"/>
  <c r="G52" i="230"/>
  <c r="D52" i="230"/>
  <c r="C52" i="230"/>
  <c r="U51" i="230"/>
  <c r="T51" i="230"/>
  <c r="H51" i="230"/>
  <c r="G51" i="230"/>
  <c r="D51" i="230"/>
  <c r="C51" i="230"/>
  <c r="AC50" i="230"/>
  <c r="AB50" i="230"/>
  <c r="AA50" i="230"/>
  <c r="Z50" i="230"/>
  <c r="Y50" i="230"/>
  <c r="U50" i="230"/>
  <c r="T50" i="230"/>
  <c r="H50" i="230"/>
  <c r="G50" i="230"/>
  <c r="D50" i="230"/>
  <c r="C50" i="230"/>
  <c r="AC49" i="230"/>
  <c r="AB49" i="230"/>
  <c r="AA49" i="230"/>
  <c r="Z49" i="230"/>
  <c r="Y49" i="230"/>
  <c r="U49" i="230"/>
  <c r="T49" i="230"/>
  <c r="R49" i="230"/>
  <c r="H49" i="230"/>
  <c r="G49" i="230"/>
  <c r="D49" i="230"/>
  <c r="C49" i="230"/>
  <c r="U48" i="230"/>
  <c r="T48" i="230"/>
  <c r="H48" i="230"/>
  <c r="G48" i="230"/>
  <c r="D48" i="230"/>
  <c r="C48" i="230"/>
  <c r="U47" i="230"/>
  <c r="T47" i="230"/>
  <c r="S47" i="230"/>
  <c r="R47" i="230"/>
  <c r="AD46" i="230" s="1"/>
  <c r="H47" i="230"/>
  <c r="G47" i="230"/>
  <c r="D47" i="230"/>
  <c r="C47" i="230"/>
  <c r="U46" i="230"/>
  <c r="T46" i="230"/>
  <c r="H46" i="230"/>
  <c r="G46" i="230"/>
  <c r="D46" i="230"/>
  <c r="C46" i="230"/>
  <c r="AC45" i="230"/>
  <c r="AB45" i="230"/>
  <c r="AA45" i="230"/>
  <c r="Z45" i="230"/>
  <c r="Y45" i="230"/>
  <c r="U45" i="230"/>
  <c r="T45" i="230"/>
  <c r="H45" i="230"/>
  <c r="G45" i="230"/>
  <c r="D45" i="230"/>
  <c r="C45" i="230"/>
  <c r="AC44" i="230"/>
  <c r="AB44" i="230"/>
  <c r="AA44" i="230"/>
  <c r="Z44" i="230"/>
  <c r="Y44" i="230"/>
  <c r="U44" i="230"/>
  <c r="T44" i="230"/>
  <c r="R44" i="230"/>
  <c r="H44" i="230"/>
  <c r="G44" i="230"/>
  <c r="D44" i="230"/>
  <c r="C44" i="230"/>
  <c r="U43" i="230"/>
  <c r="T43" i="230"/>
  <c r="H43" i="230"/>
  <c r="G43" i="230"/>
  <c r="D43" i="230"/>
  <c r="C43" i="230"/>
  <c r="U42" i="230"/>
  <c r="T42" i="230"/>
  <c r="S42" i="230"/>
  <c r="R42" i="230"/>
  <c r="AD41" i="230" s="1"/>
  <c r="H42" i="230"/>
  <c r="G42" i="230"/>
  <c r="D42" i="230"/>
  <c r="C42" i="230"/>
  <c r="U41" i="230"/>
  <c r="T41" i="230"/>
  <c r="H41" i="230"/>
  <c r="G41" i="230"/>
  <c r="D41" i="230"/>
  <c r="C41" i="230"/>
  <c r="AC40" i="230"/>
  <c r="AB40" i="230"/>
  <c r="AA40" i="230"/>
  <c r="Z40" i="230"/>
  <c r="Y40" i="230"/>
  <c r="U40" i="230"/>
  <c r="T40" i="230"/>
  <c r="H40" i="230"/>
  <c r="G40" i="230"/>
  <c r="D40" i="230"/>
  <c r="C40" i="230"/>
  <c r="AC39" i="230"/>
  <c r="AB39" i="230"/>
  <c r="AA39" i="230"/>
  <c r="Z39" i="230"/>
  <c r="Y39" i="230"/>
  <c r="U39" i="230"/>
  <c r="T39" i="230"/>
  <c r="R39" i="230"/>
  <c r="H39" i="230"/>
  <c r="G39" i="230"/>
  <c r="D39" i="230"/>
  <c r="C39" i="230"/>
  <c r="U38" i="230"/>
  <c r="T38" i="230"/>
  <c r="H38" i="230"/>
  <c r="G38" i="230"/>
  <c r="D38" i="230"/>
  <c r="C38" i="230"/>
  <c r="U37" i="230"/>
  <c r="T37" i="230"/>
  <c r="S37" i="230"/>
  <c r="R37" i="230"/>
  <c r="H37" i="230"/>
  <c r="G37" i="230"/>
  <c r="D37" i="230"/>
  <c r="C37" i="230"/>
  <c r="AD36" i="230"/>
  <c r="U36" i="230"/>
  <c r="T36" i="230"/>
  <c r="H36" i="230"/>
  <c r="G36" i="230"/>
  <c r="D36" i="230"/>
  <c r="C36" i="230"/>
  <c r="AC35" i="230"/>
  <c r="AB35" i="230"/>
  <c r="AA35" i="230"/>
  <c r="Z35" i="230"/>
  <c r="Y35" i="230"/>
  <c r="U35" i="230"/>
  <c r="T35" i="230"/>
  <c r="H35" i="230"/>
  <c r="G35" i="230"/>
  <c r="D35" i="230"/>
  <c r="C35" i="230"/>
  <c r="AC34" i="230"/>
  <c r="AB34" i="230"/>
  <c r="AA34" i="230"/>
  <c r="Z34" i="230"/>
  <c r="Y34" i="230"/>
  <c r="U34" i="230"/>
  <c r="T34" i="230"/>
  <c r="R34" i="230"/>
  <c r="H34" i="230"/>
  <c r="G34" i="230"/>
  <c r="D34" i="230"/>
  <c r="C34" i="230"/>
  <c r="U33" i="230"/>
  <c r="T33" i="230"/>
  <c r="H33" i="230"/>
  <c r="G33" i="230"/>
  <c r="D33" i="230"/>
  <c r="C33" i="230"/>
  <c r="U32" i="230"/>
  <c r="T32" i="230"/>
  <c r="R32" i="230"/>
  <c r="AD31" i="230" s="1"/>
  <c r="H32" i="230"/>
  <c r="G32" i="230"/>
  <c r="D32" i="230"/>
  <c r="C32" i="230"/>
  <c r="U31" i="230"/>
  <c r="T31" i="230"/>
  <c r="H31" i="230"/>
  <c r="G31" i="230"/>
  <c r="D31" i="230"/>
  <c r="C31" i="230"/>
  <c r="AC30" i="230"/>
  <c r="AB30" i="230"/>
  <c r="AA30" i="230"/>
  <c r="Z30" i="230"/>
  <c r="Y30" i="230"/>
  <c r="U30" i="230"/>
  <c r="T30" i="230"/>
  <c r="H30" i="230"/>
  <c r="G30" i="230"/>
  <c r="D30" i="230"/>
  <c r="C30" i="230"/>
  <c r="AC29" i="230"/>
  <c r="AB29" i="230"/>
  <c r="AA29" i="230"/>
  <c r="Z29" i="230"/>
  <c r="Y29" i="230"/>
  <c r="U29" i="230"/>
  <c r="T29" i="230"/>
  <c r="R29" i="230"/>
  <c r="H29" i="230"/>
  <c r="G29" i="230"/>
  <c r="D29" i="230"/>
  <c r="C29" i="230"/>
  <c r="U28" i="230"/>
  <c r="T28" i="230"/>
  <c r="H28" i="230"/>
  <c r="G28" i="230"/>
  <c r="D28" i="230"/>
  <c r="C28" i="230"/>
  <c r="U27" i="230"/>
  <c r="T27" i="230"/>
  <c r="R27" i="230"/>
  <c r="AD26" i="230" s="1"/>
  <c r="AG14" i="230" s="1"/>
  <c r="H27" i="230"/>
  <c r="G27" i="230"/>
  <c r="D27" i="230"/>
  <c r="C27" i="230"/>
  <c r="U26" i="230"/>
  <c r="T26" i="230"/>
  <c r="H26" i="230"/>
  <c r="G26" i="230"/>
  <c r="D26" i="230"/>
  <c r="C26" i="230"/>
  <c r="U25" i="230"/>
  <c r="T25" i="230"/>
  <c r="H25" i="230"/>
  <c r="G25" i="230"/>
  <c r="D25" i="230"/>
  <c r="C25" i="230"/>
  <c r="U24" i="230"/>
  <c r="T24" i="230"/>
  <c r="H24" i="230"/>
  <c r="G24" i="230"/>
  <c r="D24" i="230"/>
  <c r="C24" i="230"/>
  <c r="U23" i="230"/>
  <c r="T23" i="230"/>
  <c r="H23" i="230"/>
  <c r="G23" i="230"/>
  <c r="D23" i="230"/>
  <c r="C23" i="230"/>
  <c r="U22" i="230"/>
  <c r="T22" i="230"/>
  <c r="R22" i="230"/>
  <c r="H22" i="230"/>
  <c r="G22" i="230"/>
  <c r="D22" i="230"/>
  <c r="C22" i="230"/>
  <c r="U21" i="230"/>
  <c r="T21" i="230"/>
  <c r="R21" i="230"/>
  <c r="H21" i="230"/>
  <c r="G21" i="230"/>
  <c r="D21" i="230"/>
  <c r="C21" i="230"/>
  <c r="U20" i="230"/>
  <c r="T20" i="230"/>
  <c r="R20" i="230"/>
  <c r="H20" i="230"/>
  <c r="G20" i="230"/>
  <c r="D20" i="230"/>
  <c r="C20" i="230"/>
  <c r="U19" i="230"/>
  <c r="T19" i="230"/>
  <c r="R19" i="230"/>
  <c r="H19" i="230"/>
  <c r="G19" i="230"/>
  <c r="D19" i="230"/>
  <c r="C19" i="230"/>
  <c r="U18" i="230"/>
  <c r="T18" i="230"/>
  <c r="R18" i="230"/>
  <c r="H18" i="230"/>
  <c r="G18" i="230"/>
  <c r="D18" i="230"/>
  <c r="C18" i="230"/>
  <c r="U17" i="230"/>
  <c r="T17" i="230"/>
  <c r="R17" i="230"/>
  <c r="AD17" i="230" s="1"/>
  <c r="H17" i="230"/>
  <c r="G17" i="230"/>
  <c r="D17" i="230"/>
  <c r="C17" i="230"/>
  <c r="U16" i="230"/>
  <c r="T16" i="230"/>
  <c r="R16" i="230"/>
  <c r="H16" i="230"/>
  <c r="G16" i="230"/>
  <c r="D16" i="230"/>
  <c r="C16" i="230"/>
  <c r="U15" i="230"/>
  <c r="T15" i="230"/>
  <c r="R15" i="230"/>
  <c r="H15" i="230"/>
  <c r="G15" i="230"/>
  <c r="D15" i="230"/>
  <c r="C15" i="230"/>
  <c r="U14" i="230"/>
  <c r="T14" i="230"/>
  <c r="R14" i="230"/>
  <c r="H14" i="230"/>
  <c r="G14" i="230"/>
  <c r="D14" i="230"/>
  <c r="C14" i="230"/>
  <c r="U13" i="230"/>
  <c r="T13" i="230"/>
  <c r="R13" i="230"/>
  <c r="AD13" i="230" s="1"/>
  <c r="H13" i="230"/>
  <c r="G13" i="230"/>
  <c r="D13" i="230"/>
  <c r="C13" i="230"/>
  <c r="U12" i="230"/>
  <c r="T12" i="230"/>
  <c r="H12" i="230"/>
  <c r="G12" i="230"/>
  <c r="D12" i="230"/>
  <c r="C12" i="230"/>
  <c r="U11" i="230"/>
  <c r="T11" i="230"/>
  <c r="H11" i="230"/>
  <c r="G11" i="230"/>
  <c r="D11" i="230"/>
  <c r="C11" i="230"/>
  <c r="U10" i="230"/>
  <c r="T10" i="230"/>
  <c r="H10" i="230"/>
  <c r="G10" i="230"/>
  <c r="D10" i="230"/>
  <c r="C10" i="230"/>
  <c r="U9" i="230"/>
  <c r="T9" i="230"/>
  <c r="H9" i="230"/>
  <c r="G9" i="230"/>
  <c r="D9" i="230"/>
  <c r="C9" i="230"/>
  <c r="AC8" i="230"/>
  <c r="AB8" i="230"/>
  <c r="AG9" i="230" s="1"/>
  <c r="AQ9" i="230" s="1"/>
  <c r="AA8" i="230"/>
  <c r="Z8" i="230"/>
  <c r="Y8" i="230"/>
  <c r="U8" i="230"/>
  <c r="T8" i="230"/>
  <c r="R8" i="230"/>
  <c r="H8" i="230"/>
  <c r="G8" i="230"/>
  <c r="D8" i="230"/>
  <c r="C8" i="230"/>
  <c r="AG7" i="230"/>
  <c r="U7" i="230"/>
  <c r="T7" i="230"/>
  <c r="H7" i="230"/>
  <c r="G7" i="230"/>
  <c r="D7" i="230"/>
  <c r="C7" i="230"/>
  <c r="AQ6" i="230"/>
  <c r="U6" i="230"/>
  <c r="T6" i="230"/>
  <c r="H6" i="230"/>
  <c r="G6" i="230"/>
  <c r="D6" i="230"/>
  <c r="C6" i="230"/>
  <c r="AK5" i="230"/>
  <c r="AJ5" i="230"/>
  <c r="Z7" i="230" s="1"/>
  <c r="AI5" i="230"/>
  <c r="Y61" i="230" s="1"/>
  <c r="AG3" i="230"/>
  <c r="C2" i="230" a="1"/>
  <c r="C2" i="230" s="1"/>
  <c r="B2" i="230" a="1"/>
  <c r="B2" i="230" s="1"/>
  <c r="C1" i="230"/>
  <c r="B1" i="230"/>
  <c r="U105" i="229"/>
  <c r="T105" i="229"/>
  <c r="H105" i="229"/>
  <c r="G105" i="229"/>
  <c r="D105" i="229"/>
  <c r="C105" i="229"/>
  <c r="U104" i="229"/>
  <c r="T104" i="229"/>
  <c r="H104" i="229"/>
  <c r="G104" i="229"/>
  <c r="D104" i="229"/>
  <c r="C104" i="229"/>
  <c r="U103" i="229"/>
  <c r="T103" i="229"/>
  <c r="H103" i="229"/>
  <c r="G103" i="229"/>
  <c r="D103" i="229"/>
  <c r="C103" i="229"/>
  <c r="U102" i="229"/>
  <c r="T102" i="229"/>
  <c r="H102" i="229"/>
  <c r="G102" i="229"/>
  <c r="D102" i="229"/>
  <c r="C102" i="229"/>
  <c r="U101" i="229"/>
  <c r="T101" i="229"/>
  <c r="H101" i="229"/>
  <c r="G101" i="229"/>
  <c r="D101" i="229"/>
  <c r="C101" i="229"/>
  <c r="U100" i="229"/>
  <c r="T100" i="229"/>
  <c r="H100" i="229"/>
  <c r="G100" i="229"/>
  <c r="D100" i="229"/>
  <c r="C100" i="229"/>
  <c r="U99" i="229"/>
  <c r="T99" i="229"/>
  <c r="H99" i="229"/>
  <c r="G99" i="229"/>
  <c r="D99" i="229"/>
  <c r="C99" i="229"/>
  <c r="U98" i="229"/>
  <c r="T98" i="229"/>
  <c r="H98" i="229"/>
  <c r="G98" i="229"/>
  <c r="D98" i="229"/>
  <c r="C98" i="229"/>
  <c r="U97" i="229"/>
  <c r="T97" i="229"/>
  <c r="H97" i="229"/>
  <c r="G97" i="229"/>
  <c r="D97" i="229"/>
  <c r="C97" i="229"/>
  <c r="U96" i="229"/>
  <c r="T96" i="229"/>
  <c r="H96" i="229"/>
  <c r="G96" i="229"/>
  <c r="D96" i="229"/>
  <c r="C96" i="229"/>
  <c r="U95" i="229"/>
  <c r="T95" i="229"/>
  <c r="H95" i="229"/>
  <c r="G95" i="229"/>
  <c r="D95" i="229"/>
  <c r="C95" i="229"/>
  <c r="U94" i="229"/>
  <c r="T94" i="229"/>
  <c r="H94" i="229"/>
  <c r="G94" i="229"/>
  <c r="D94" i="229"/>
  <c r="C94" i="229"/>
  <c r="U93" i="229"/>
  <c r="T93" i="229"/>
  <c r="H93" i="229"/>
  <c r="G93" i="229"/>
  <c r="D93" i="229"/>
  <c r="C93" i="229"/>
  <c r="U92" i="229"/>
  <c r="T92" i="229"/>
  <c r="H92" i="229"/>
  <c r="G92" i="229"/>
  <c r="D92" i="229"/>
  <c r="C92" i="229"/>
  <c r="U91" i="229"/>
  <c r="T91" i="229"/>
  <c r="H91" i="229"/>
  <c r="G91" i="229"/>
  <c r="D91" i="229"/>
  <c r="C91" i="229"/>
  <c r="U90" i="229"/>
  <c r="T90" i="229"/>
  <c r="H90" i="229"/>
  <c r="G90" i="229"/>
  <c r="D90" i="229"/>
  <c r="C90" i="229"/>
  <c r="U89" i="229"/>
  <c r="T89" i="229"/>
  <c r="H89" i="229"/>
  <c r="G89" i="229"/>
  <c r="D89" i="229"/>
  <c r="C89" i="229"/>
  <c r="U88" i="229"/>
  <c r="T88" i="229"/>
  <c r="H88" i="229"/>
  <c r="G88" i="229"/>
  <c r="D88" i="229"/>
  <c r="C88" i="229"/>
  <c r="U87" i="229"/>
  <c r="T87" i="229"/>
  <c r="H87" i="229"/>
  <c r="G87" i="229"/>
  <c r="D87" i="229"/>
  <c r="C87" i="229"/>
  <c r="U86" i="229"/>
  <c r="T86" i="229"/>
  <c r="H86" i="229"/>
  <c r="G86" i="229"/>
  <c r="D86" i="229"/>
  <c r="C86" i="229"/>
  <c r="U85" i="229"/>
  <c r="T85" i="229"/>
  <c r="H85" i="229"/>
  <c r="G85" i="229"/>
  <c r="D85" i="229"/>
  <c r="C85" i="229"/>
  <c r="U84" i="229"/>
  <c r="T84" i="229"/>
  <c r="H84" i="229"/>
  <c r="G84" i="229"/>
  <c r="D84" i="229"/>
  <c r="C84" i="229"/>
  <c r="U83" i="229"/>
  <c r="T83" i="229"/>
  <c r="H83" i="229"/>
  <c r="G83" i="229"/>
  <c r="D83" i="229"/>
  <c r="C83" i="229"/>
  <c r="U82" i="229"/>
  <c r="T82" i="229"/>
  <c r="H82" i="229"/>
  <c r="G82" i="229"/>
  <c r="D82" i="229"/>
  <c r="C82" i="229"/>
  <c r="U81" i="229"/>
  <c r="T81" i="229"/>
  <c r="H81" i="229"/>
  <c r="G81" i="229"/>
  <c r="D81" i="229"/>
  <c r="C81" i="229"/>
  <c r="U80" i="229"/>
  <c r="T80" i="229"/>
  <c r="H80" i="229"/>
  <c r="G80" i="229"/>
  <c r="D80" i="229"/>
  <c r="C80" i="229"/>
  <c r="U79" i="229"/>
  <c r="T79" i="229"/>
  <c r="H79" i="229"/>
  <c r="G79" i="229"/>
  <c r="D79" i="229"/>
  <c r="C79" i="229"/>
  <c r="U78" i="229"/>
  <c r="T78" i="229"/>
  <c r="H78" i="229"/>
  <c r="G78" i="229"/>
  <c r="D78" i="229"/>
  <c r="C78" i="229"/>
  <c r="U77" i="229"/>
  <c r="T77" i="229"/>
  <c r="H77" i="229"/>
  <c r="G77" i="229"/>
  <c r="D77" i="229"/>
  <c r="C77" i="229"/>
  <c r="U76" i="229"/>
  <c r="T76" i="229"/>
  <c r="H76" i="229"/>
  <c r="G76" i="229"/>
  <c r="D76" i="229"/>
  <c r="C76" i="229"/>
  <c r="U75" i="229"/>
  <c r="T75" i="229"/>
  <c r="H75" i="229"/>
  <c r="G75" i="229"/>
  <c r="D75" i="229"/>
  <c r="C75" i="229"/>
  <c r="U74" i="229"/>
  <c r="T74" i="229"/>
  <c r="H74" i="229"/>
  <c r="G74" i="229"/>
  <c r="D74" i="229"/>
  <c r="C74" i="229"/>
  <c r="U73" i="229"/>
  <c r="T73" i="229"/>
  <c r="H73" i="229"/>
  <c r="G73" i="229"/>
  <c r="D73" i="229"/>
  <c r="C73" i="229"/>
  <c r="U72" i="229"/>
  <c r="T72" i="229"/>
  <c r="H72" i="229"/>
  <c r="G72" i="229"/>
  <c r="D72" i="229"/>
  <c r="C72" i="229"/>
  <c r="U71" i="229"/>
  <c r="T71" i="229"/>
  <c r="H71" i="229"/>
  <c r="G71" i="229"/>
  <c r="D71" i="229"/>
  <c r="C71" i="229"/>
  <c r="U70" i="229"/>
  <c r="T70" i="229"/>
  <c r="H70" i="229"/>
  <c r="G70" i="229"/>
  <c r="D70" i="229"/>
  <c r="C70" i="229"/>
  <c r="U69" i="229"/>
  <c r="T69" i="229"/>
  <c r="H69" i="229"/>
  <c r="G69" i="229"/>
  <c r="D69" i="229"/>
  <c r="C69" i="229"/>
  <c r="U68" i="229"/>
  <c r="T68" i="229"/>
  <c r="H68" i="229"/>
  <c r="G68" i="229"/>
  <c r="D68" i="229"/>
  <c r="C68" i="229"/>
  <c r="U67" i="229"/>
  <c r="T67" i="229"/>
  <c r="H67" i="229"/>
  <c r="G67" i="229"/>
  <c r="D67" i="229"/>
  <c r="C67" i="229"/>
  <c r="U66" i="229"/>
  <c r="T66" i="229"/>
  <c r="H66" i="229"/>
  <c r="G66" i="229"/>
  <c r="D66" i="229"/>
  <c r="C66" i="229"/>
  <c r="U65" i="229"/>
  <c r="T65" i="229"/>
  <c r="H65" i="229"/>
  <c r="G65" i="229"/>
  <c r="D65" i="229"/>
  <c r="C65" i="229"/>
  <c r="U64" i="229"/>
  <c r="T64" i="229"/>
  <c r="H64" i="229"/>
  <c r="G64" i="229"/>
  <c r="D64" i="229"/>
  <c r="C64" i="229"/>
  <c r="U63" i="229"/>
  <c r="T63" i="229"/>
  <c r="R63" i="229"/>
  <c r="AD63" i="229" s="1"/>
  <c r="H63" i="229"/>
  <c r="G63" i="229"/>
  <c r="D63" i="229"/>
  <c r="C63" i="229"/>
  <c r="U62" i="229"/>
  <c r="T62" i="229"/>
  <c r="H62" i="229"/>
  <c r="G62" i="229"/>
  <c r="D62" i="229"/>
  <c r="C62" i="229"/>
  <c r="U61" i="229"/>
  <c r="T61" i="229"/>
  <c r="R61" i="229"/>
  <c r="AD61" i="229" s="1"/>
  <c r="H61" i="229"/>
  <c r="G61" i="229"/>
  <c r="D61" i="229"/>
  <c r="C61" i="229"/>
  <c r="U60" i="229"/>
  <c r="T60" i="229"/>
  <c r="H60" i="229"/>
  <c r="G60" i="229"/>
  <c r="D60" i="229"/>
  <c r="C60" i="229"/>
  <c r="U59" i="229"/>
  <c r="T59" i="229"/>
  <c r="R59" i="229"/>
  <c r="AD59" i="229" s="1"/>
  <c r="H59" i="229"/>
  <c r="G59" i="229"/>
  <c r="D59" i="229"/>
  <c r="C59" i="229"/>
  <c r="U58" i="229"/>
  <c r="T58" i="229"/>
  <c r="H58" i="229"/>
  <c r="G58" i="229"/>
  <c r="D58" i="229"/>
  <c r="C58" i="229"/>
  <c r="U57" i="229"/>
  <c r="T57" i="229"/>
  <c r="R57" i="229"/>
  <c r="AD57" i="229" s="1"/>
  <c r="H57" i="229"/>
  <c r="G57" i="229"/>
  <c r="D57" i="229"/>
  <c r="C57" i="229"/>
  <c r="U56" i="229"/>
  <c r="T56" i="229"/>
  <c r="H56" i="229"/>
  <c r="G56" i="229"/>
  <c r="D56" i="229"/>
  <c r="C56" i="229"/>
  <c r="U55" i="229"/>
  <c r="T55" i="229"/>
  <c r="R55" i="229"/>
  <c r="AD55" i="229" s="1"/>
  <c r="H55" i="229"/>
  <c r="G55" i="229"/>
  <c r="D55" i="229"/>
  <c r="C55" i="229"/>
  <c r="U54" i="229"/>
  <c r="T54" i="229"/>
  <c r="H54" i="229"/>
  <c r="G54" i="229"/>
  <c r="D54" i="229"/>
  <c r="C54" i="229"/>
  <c r="U53" i="229"/>
  <c r="T53" i="229"/>
  <c r="H53" i="229"/>
  <c r="G53" i="229"/>
  <c r="D53" i="229"/>
  <c r="C53" i="229"/>
  <c r="U52" i="229"/>
  <c r="T52" i="229"/>
  <c r="H52" i="229"/>
  <c r="G52" i="229"/>
  <c r="D52" i="229"/>
  <c r="C52" i="229"/>
  <c r="U51" i="229"/>
  <c r="T51" i="229"/>
  <c r="H51" i="229"/>
  <c r="G51" i="229"/>
  <c r="D51" i="229"/>
  <c r="C51" i="229"/>
  <c r="AC50" i="229"/>
  <c r="AB50" i="229"/>
  <c r="AA50" i="229"/>
  <c r="Z50" i="229"/>
  <c r="Y50" i="229"/>
  <c r="U50" i="229"/>
  <c r="T50" i="229"/>
  <c r="H50" i="229"/>
  <c r="G50" i="229"/>
  <c r="D50" i="229"/>
  <c r="C50" i="229"/>
  <c r="AC49" i="229"/>
  <c r="AB49" i="229"/>
  <c r="AA49" i="229"/>
  <c r="Z49" i="229"/>
  <c r="Y49" i="229"/>
  <c r="U49" i="229"/>
  <c r="T49" i="229"/>
  <c r="R49" i="229"/>
  <c r="H49" i="229"/>
  <c r="G49" i="229"/>
  <c r="D49" i="229"/>
  <c r="C49" i="229"/>
  <c r="U48" i="229"/>
  <c r="T48" i="229"/>
  <c r="H48" i="229"/>
  <c r="G48" i="229"/>
  <c r="D48" i="229"/>
  <c r="C48" i="229"/>
  <c r="U47" i="229"/>
  <c r="T47" i="229"/>
  <c r="R47" i="229"/>
  <c r="S47" i="229" s="1"/>
  <c r="H47" i="229"/>
  <c r="G47" i="229"/>
  <c r="D47" i="229"/>
  <c r="C47" i="229"/>
  <c r="AD46" i="229"/>
  <c r="U46" i="229"/>
  <c r="T46" i="229"/>
  <c r="H46" i="229"/>
  <c r="G46" i="229"/>
  <c r="D46" i="229"/>
  <c r="C46" i="229"/>
  <c r="AC45" i="229"/>
  <c r="AB45" i="229"/>
  <c r="AA45" i="229"/>
  <c r="Z45" i="229"/>
  <c r="Y45" i="229"/>
  <c r="U45" i="229"/>
  <c r="T45" i="229"/>
  <c r="H45" i="229"/>
  <c r="G45" i="229"/>
  <c r="D45" i="229"/>
  <c r="C45" i="229"/>
  <c r="AC44" i="229"/>
  <c r="AB44" i="229"/>
  <c r="AA44" i="229"/>
  <c r="Z44" i="229"/>
  <c r="Y44" i="229"/>
  <c r="U44" i="229"/>
  <c r="T44" i="229"/>
  <c r="R44" i="229"/>
  <c r="H44" i="229"/>
  <c r="G44" i="229"/>
  <c r="D44" i="229"/>
  <c r="C44" i="229"/>
  <c r="U43" i="229"/>
  <c r="T43" i="229"/>
  <c r="H43" i="229"/>
  <c r="G43" i="229"/>
  <c r="D43" i="229"/>
  <c r="C43" i="229"/>
  <c r="U42" i="229"/>
  <c r="T42" i="229"/>
  <c r="S42" i="229"/>
  <c r="R42" i="229"/>
  <c r="AD41" i="229" s="1"/>
  <c r="H42" i="229"/>
  <c r="G42" i="229"/>
  <c r="D42" i="229"/>
  <c r="C42" i="229"/>
  <c r="U41" i="229"/>
  <c r="T41" i="229"/>
  <c r="H41" i="229"/>
  <c r="G41" i="229"/>
  <c r="D41" i="229"/>
  <c r="C41" i="229"/>
  <c r="AC40" i="229"/>
  <c r="AB40" i="229"/>
  <c r="AA40" i="229"/>
  <c r="Z40" i="229"/>
  <c r="Y40" i="229"/>
  <c r="U40" i="229"/>
  <c r="T40" i="229"/>
  <c r="H40" i="229"/>
  <c r="G40" i="229"/>
  <c r="D40" i="229"/>
  <c r="C40" i="229"/>
  <c r="AC39" i="229"/>
  <c r="AB39" i="229"/>
  <c r="AA39" i="229"/>
  <c r="Z39" i="229"/>
  <c r="Y39" i="229"/>
  <c r="U39" i="229"/>
  <c r="T39" i="229"/>
  <c r="R39" i="229"/>
  <c r="H39" i="229"/>
  <c r="G39" i="229"/>
  <c r="D39" i="229"/>
  <c r="C39" i="229"/>
  <c r="U38" i="229"/>
  <c r="T38" i="229"/>
  <c r="H38" i="229"/>
  <c r="G38" i="229"/>
  <c r="D38" i="229"/>
  <c r="C38" i="229"/>
  <c r="U37" i="229"/>
  <c r="T37" i="229"/>
  <c r="S37" i="229"/>
  <c r="R37" i="229"/>
  <c r="H37" i="229"/>
  <c r="G37" i="229"/>
  <c r="D37" i="229"/>
  <c r="C37" i="229"/>
  <c r="AD36" i="229"/>
  <c r="U36" i="229"/>
  <c r="T36" i="229"/>
  <c r="H36" i="229"/>
  <c r="G36" i="229"/>
  <c r="D36" i="229"/>
  <c r="C36" i="229"/>
  <c r="AC35" i="229"/>
  <c r="AB35" i="229"/>
  <c r="AA35" i="229"/>
  <c r="Z35" i="229"/>
  <c r="Y35" i="229"/>
  <c r="U35" i="229"/>
  <c r="T35" i="229"/>
  <c r="H35" i="229"/>
  <c r="G35" i="229"/>
  <c r="D35" i="229"/>
  <c r="C35" i="229"/>
  <c r="AC34" i="229"/>
  <c r="AB34" i="229"/>
  <c r="AA34" i="229"/>
  <c r="Z34" i="229"/>
  <c r="Y34" i="229"/>
  <c r="U34" i="229"/>
  <c r="T34" i="229"/>
  <c r="R34" i="229"/>
  <c r="H34" i="229"/>
  <c r="G34" i="229"/>
  <c r="D34" i="229"/>
  <c r="C34" i="229"/>
  <c r="U33" i="229"/>
  <c r="T33" i="229"/>
  <c r="H33" i="229"/>
  <c r="G33" i="229"/>
  <c r="D33" i="229"/>
  <c r="C33" i="229"/>
  <c r="U32" i="229"/>
  <c r="T32" i="229"/>
  <c r="R32" i="229"/>
  <c r="S32" i="229" s="1"/>
  <c r="H32" i="229"/>
  <c r="G32" i="229"/>
  <c r="D32" i="229"/>
  <c r="C32" i="229"/>
  <c r="U31" i="229"/>
  <c r="T31" i="229"/>
  <c r="H31" i="229"/>
  <c r="G31" i="229"/>
  <c r="D31" i="229"/>
  <c r="C31" i="229"/>
  <c r="AC30" i="229"/>
  <c r="AB30" i="229"/>
  <c r="AA30" i="229"/>
  <c r="Z30" i="229"/>
  <c r="Y30" i="229"/>
  <c r="U30" i="229"/>
  <c r="T30" i="229"/>
  <c r="H30" i="229"/>
  <c r="G30" i="229"/>
  <c r="D30" i="229"/>
  <c r="C30" i="229"/>
  <c r="AC29" i="229"/>
  <c r="AB29" i="229"/>
  <c r="AA29" i="229"/>
  <c r="Z29" i="229"/>
  <c r="Y29" i="229"/>
  <c r="U29" i="229"/>
  <c r="T29" i="229"/>
  <c r="R29" i="229"/>
  <c r="H29" i="229"/>
  <c r="G29" i="229"/>
  <c r="D29" i="229"/>
  <c r="C29" i="229"/>
  <c r="U28" i="229"/>
  <c r="T28" i="229"/>
  <c r="H28" i="229"/>
  <c r="G28" i="229"/>
  <c r="D28" i="229"/>
  <c r="C28" i="229"/>
  <c r="U27" i="229"/>
  <c r="T27" i="229"/>
  <c r="R27" i="229"/>
  <c r="S27" i="229" s="1"/>
  <c r="AD27" i="229" s="1"/>
  <c r="H27" i="229"/>
  <c r="G27" i="229"/>
  <c r="D27" i="229"/>
  <c r="C27" i="229"/>
  <c r="U26" i="229"/>
  <c r="T26" i="229"/>
  <c r="H26" i="229"/>
  <c r="G26" i="229"/>
  <c r="D26" i="229"/>
  <c r="C26" i="229"/>
  <c r="U25" i="229"/>
  <c r="T25" i="229"/>
  <c r="H25" i="229"/>
  <c r="G25" i="229"/>
  <c r="D25" i="229"/>
  <c r="C25" i="229"/>
  <c r="U24" i="229"/>
  <c r="T24" i="229"/>
  <c r="H24" i="229"/>
  <c r="G24" i="229"/>
  <c r="D24" i="229"/>
  <c r="C24" i="229"/>
  <c r="U23" i="229"/>
  <c r="T23" i="229"/>
  <c r="H23" i="229"/>
  <c r="G23" i="229"/>
  <c r="D23" i="229"/>
  <c r="C23" i="229"/>
  <c r="U22" i="229"/>
  <c r="T22" i="229"/>
  <c r="R22" i="229"/>
  <c r="AD22" i="229" s="1"/>
  <c r="H22" i="229"/>
  <c r="G22" i="229"/>
  <c r="D22" i="229"/>
  <c r="C22" i="229"/>
  <c r="U21" i="229"/>
  <c r="T21" i="229"/>
  <c r="R21" i="229"/>
  <c r="AD21" i="229" s="1"/>
  <c r="H21" i="229"/>
  <c r="G21" i="229"/>
  <c r="D21" i="229"/>
  <c r="C21" i="229"/>
  <c r="U20" i="229"/>
  <c r="T20" i="229"/>
  <c r="R20" i="229"/>
  <c r="AD20" i="229" s="1"/>
  <c r="H20" i="229"/>
  <c r="G20" i="229"/>
  <c r="D20" i="229"/>
  <c r="C20" i="229"/>
  <c r="U19" i="229"/>
  <c r="T19" i="229"/>
  <c r="R19" i="229"/>
  <c r="AD19" i="229" s="1"/>
  <c r="H19" i="229"/>
  <c r="G19" i="229"/>
  <c r="D19" i="229"/>
  <c r="C19" i="229"/>
  <c r="U18" i="229"/>
  <c r="T18" i="229"/>
  <c r="R18" i="229"/>
  <c r="AD18" i="229" s="1"/>
  <c r="H18" i="229"/>
  <c r="G18" i="229"/>
  <c r="D18" i="229"/>
  <c r="C18" i="229"/>
  <c r="U17" i="229"/>
  <c r="T17" i="229"/>
  <c r="R17" i="229"/>
  <c r="AD17" i="229" s="1"/>
  <c r="H17" i="229"/>
  <c r="G17" i="229"/>
  <c r="D17" i="229"/>
  <c r="C17" i="229"/>
  <c r="U16" i="229"/>
  <c r="T16" i="229"/>
  <c r="R16" i="229"/>
  <c r="AD16" i="229" s="1"/>
  <c r="H16" i="229"/>
  <c r="G16" i="229"/>
  <c r="D16" i="229"/>
  <c r="C16" i="229"/>
  <c r="U15" i="229"/>
  <c r="T15" i="229"/>
  <c r="R15" i="229"/>
  <c r="AD15" i="229" s="1"/>
  <c r="H15" i="229"/>
  <c r="G15" i="229"/>
  <c r="D15" i="229"/>
  <c r="C15" i="229"/>
  <c r="U14" i="229"/>
  <c r="T14" i="229"/>
  <c r="R14" i="229"/>
  <c r="AD14" i="229" s="1"/>
  <c r="H14" i="229"/>
  <c r="G14" i="229"/>
  <c r="D14" i="229"/>
  <c r="C14" i="229"/>
  <c r="U13" i="229"/>
  <c r="T13" i="229"/>
  <c r="R13" i="229"/>
  <c r="AD13" i="229" s="1"/>
  <c r="H13" i="229"/>
  <c r="G13" i="229"/>
  <c r="D13" i="229"/>
  <c r="C13" i="229"/>
  <c r="U12" i="229"/>
  <c r="T12" i="229"/>
  <c r="H12" i="229"/>
  <c r="G12" i="229"/>
  <c r="D12" i="229"/>
  <c r="C12" i="229"/>
  <c r="U11" i="229"/>
  <c r="T11" i="229"/>
  <c r="H11" i="229"/>
  <c r="G11" i="229"/>
  <c r="D11" i="229"/>
  <c r="C11" i="229"/>
  <c r="U10" i="229"/>
  <c r="T10" i="229"/>
  <c r="H10" i="229"/>
  <c r="G10" i="229"/>
  <c r="D10" i="229"/>
  <c r="C10" i="229"/>
  <c r="U9" i="229"/>
  <c r="T9" i="229"/>
  <c r="H9" i="229"/>
  <c r="G9" i="229"/>
  <c r="D9" i="229"/>
  <c r="C9" i="229"/>
  <c r="AC8" i="229"/>
  <c r="AB8" i="229"/>
  <c r="AA8" i="229"/>
  <c r="Z8" i="229"/>
  <c r="Y8" i="229"/>
  <c r="U8" i="229"/>
  <c r="T8" i="229"/>
  <c r="R8" i="229"/>
  <c r="H8" i="229"/>
  <c r="G8" i="229"/>
  <c r="D8" i="229"/>
  <c r="C8" i="229"/>
  <c r="AG7" i="229"/>
  <c r="U7" i="229"/>
  <c r="T7" i="229"/>
  <c r="H7" i="229"/>
  <c r="G7" i="229"/>
  <c r="D7" i="229"/>
  <c r="C7" i="229"/>
  <c r="AQ6" i="229"/>
  <c r="U6" i="229"/>
  <c r="T6" i="229"/>
  <c r="H6" i="229"/>
  <c r="G6" i="229"/>
  <c r="D6" i="229"/>
  <c r="C6" i="229"/>
  <c r="AK5" i="229"/>
  <c r="AJ5" i="229"/>
  <c r="Z7" i="229" s="1"/>
  <c r="AI5" i="229"/>
  <c r="Y61" i="229" s="1"/>
  <c r="AG3" i="229"/>
  <c r="C2" i="229" a="1"/>
  <c r="C2" i="229" s="1"/>
  <c r="B2" i="229" a="1"/>
  <c r="B2" i="229" s="1"/>
  <c r="C1" i="229"/>
  <c r="B1" i="229"/>
  <c r="U105" i="228"/>
  <c r="T105" i="228"/>
  <c r="H105" i="228"/>
  <c r="G105" i="228"/>
  <c r="D105" i="228"/>
  <c r="C105" i="228"/>
  <c r="U104" i="228"/>
  <c r="T104" i="228"/>
  <c r="H104" i="228"/>
  <c r="G104" i="228"/>
  <c r="D104" i="228"/>
  <c r="C104" i="228"/>
  <c r="U103" i="228"/>
  <c r="T103" i="228"/>
  <c r="H103" i="228"/>
  <c r="G103" i="228"/>
  <c r="D103" i="228"/>
  <c r="C103" i="228"/>
  <c r="U102" i="228"/>
  <c r="T102" i="228"/>
  <c r="H102" i="228"/>
  <c r="G102" i="228"/>
  <c r="D102" i="228"/>
  <c r="C102" i="228"/>
  <c r="U101" i="228"/>
  <c r="T101" i="228"/>
  <c r="H101" i="228"/>
  <c r="G101" i="228"/>
  <c r="D101" i="228"/>
  <c r="C101" i="228"/>
  <c r="U100" i="228"/>
  <c r="T100" i="228"/>
  <c r="H100" i="228"/>
  <c r="G100" i="228"/>
  <c r="D100" i="228"/>
  <c r="C100" i="228"/>
  <c r="U99" i="228"/>
  <c r="T99" i="228"/>
  <c r="H99" i="228"/>
  <c r="G99" i="228"/>
  <c r="D99" i="228"/>
  <c r="C99" i="228"/>
  <c r="U98" i="228"/>
  <c r="T98" i="228"/>
  <c r="H98" i="228"/>
  <c r="G98" i="228"/>
  <c r="D98" i="228"/>
  <c r="C98" i="228"/>
  <c r="U97" i="228"/>
  <c r="T97" i="228"/>
  <c r="H97" i="228"/>
  <c r="G97" i="228"/>
  <c r="D97" i="228"/>
  <c r="C97" i="228"/>
  <c r="U96" i="228"/>
  <c r="T96" i="228"/>
  <c r="H96" i="228"/>
  <c r="G96" i="228"/>
  <c r="D96" i="228"/>
  <c r="C96" i="228"/>
  <c r="U95" i="228"/>
  <c r="T95" i="228"/>
  <c r="H95" i="228"/>
  <c r="G95" i="228"/>
  <c r="D95" i="228"/>
  <c r="C95" i="228"/>
  <c r="U94" i="228"/>
  <c r="T94" i="228"/>
  <c r="H94" i="228"/>
  <c r="G94" i="228"/>
  <c r="D94" i="228"/>
  <c r="C94" i="228"/>
  <c r="U93" i="228"/>
  <c r="T93" i="228"/>
  <c r="H93" i="228"/>
  <c r="G93" i="228"/>
  <c r="D93" i="228"/>
  <c r="C93" i="228"/>
  <c r="U92" i="228"/>
  <c r="T92" i="228"/>
  <c r="H92" i="228"/>
  <c r="G92" i="228"/>
  <c r="D92" i="228"/>
  <c r="C92" i="228"/>
  <c r="U91" i="228"/>
  <c r="T91" i="228"/>
  <c r="H91" i="228"/>
  <c r="G91" i="228"/>
  <c r="D91" i="228"/>
  <c r="C91" i="228"/>
  <c r="U90" i="228"/>
  <c r="T90" i="228"/>
  <c r="H90" i="228"/>
  <c r="G90" i="228"/>
  <c r="D90" i="228"/>
  <c r="C90" i="228"/>
  <c r="U89" i="228"/>
  <c r="T89" i="228"/>
  <c r="H89" i="228"/>
  <c r="G89" i="228"/>
  <c r="D89" i="228"/>
  <c r="C89" i="228"/>
  <c r="U88" i="228"/>
  <c r="T88" i="228"/>
  <c r="H88" i="228"/>
  <c r="G88" i="228"/>
  <c r="D88" i="228"/>
  <c r="C88" i="228"/>
  <c r="U87" i="228"/>
  <c r="T87" i="228"/>
  <c r="H87" i="228"/>
  <c r="G87" i="228"/>
  <c r="D87" i="228"/>
  <c r="C87" i="228"/>
  <c r="U86" i="228"/>
  <c r="T86" i="228"/>
  <c r="H86" i="228"/>
  <c r="G86" i="228"/>
  <c r="D86" i="228"/>
  <c r="C86" i="228"/>
  <c r="U85" i="228"/>
  <c r="T85" i="228"/>
  <c r="H85" i="228"/>
  <c r="G85" i="228"/>
  <c r="D85" i="228"/>
  <c r="C85" i="228"/>
  <c r="U84" i="228"/>
  <c r="T84" i="228"/>
  <c r="H84" i="228"/>
  <c r="G84" i="228"/>
  <c r="D84" i="228"/>
  <c r="C84" i="228"/>
  <c r="U83" i="228"/>
  <c r="T83" i="228"/>
  <c r="H83" i="228"/>
  <c r="G83" i="228"/>
  <c r="D83" i="228"/>
  <c r="C83" i="228"/>
  <c r="U82" i="228"/>
  <c r="T82" i="228"/>
  <c r="H82" i="228"/>
  <c r="G82" i="228"/>
  <c r="D82" i="228"/>
  <c r="C82" i="228"/>
  <c r="U81" i="228"/>
  <c r="T81" i="228"/>
  <c r="H81" i="228"/>
  <c r="G81" i="228"/>
  <c r="D81" i="228"/>
  <c r="C81" i="228"/>
  <c r="U80" i="228"/>
  <c r="T80" i="228"/>
  <c r="H80" i="228"/>
  <c r="G80" i="228"/>
  <c r="D80" i="228"/>
  <c r="C80" i="228"/>
  <c r="U79" i="228"/>
  <c r="T79" i="228"/>
  <c r="H79" i="228"/>
  <c r="G79" i="228"/>
  <c r="D79" i="228"/>
  <c r="C79" i="228"/>
  <c r="U78" i="228"/>
  <c r="T78" i="228"/>
  <c r="H78" i="228"/>
  <c r="G78" i="228"/>
  <c r="D78" i="228"/>
  <c r="C78" i="228"/>
  <c r="U77" i="228"/>
  <c r="T77" i="228"/>
  <c r="H77" i="228"/>
  <c r="G77" i="228"/>
  <c r="D77" i="228"/>
  <c r="C77" i="228"/>
  <c r="U76" i="228"/>
  <c r="T76" i="228"/>
  <c r="H76" i="228"/>
  <c r="G76" i="228"/>
  <c r="D76" i="228"/>
  <c r="C76" i="228"/>
  <c r="U75" i="228"/>
  <c r="T75" i="228"/>
  <c r="H75" i="228"/>
  <c r="G75" i="228"/>
  <c r="D75" i="228"/>
  <c r="C75" i="228"/>
  <c r="U74" i="228"/>
  <c r="T74" i="228"/>
  <c r="H74" i="228"/>
  <c r="G74" i="228"/>
  <c r="D74" i="228"/>
  <c r="C74" i="228"/>
  <c r="U73" i="228"/>
  <c r="T73" i="228"/>
  <c r="H73" i="228"/>
  <c r="G73" i="228"/>
  <c r="D73" i="228"/>
  <c r="C73" i="228"/>
  <c r="U72" i="228"/>
  <c r="T72" i="228"/>
  <c r="H72" i="228"/>
  <c r="G72" i="228"/>
  <c r="D72" i="228"/>
  <c r="C72" i="228"/>
  <c r="U71" i="228"/>
  <c r="T71" i="228"/>
  <c r="H71" i="228"/>
  <c r="G71" i="228"/>
  <c r="D71" i="228"/>
  <c r="C71" i="228"/>
  <c r="U70" i="228"/>
  <c r="T70" i="228"/>
  <c r="H70" i="228"/>
  <c r="G70" i="228"/>
  <c r="D70" i="228"/>
  <c r="C70" i="228"/>
  <c r="U69" i="228"/>
  <c r="T69" i="228"/>
  <c r="H69" i="228"/>
  <c r="G69" i="228"/>
  <c r="D69" i="228"/>
  <c r="C69" i="228"/>
  <c r="U68" i="228"/>
  <c r="T68" i="228"/>
  <c r="H68" i="228"/>
  <c r="G68" i="228"/>
  <c r="D68" i="228"/>
  <c r="C68" i="228"/>
  <c r="U67" i="228"/>
  <c r="T67" i="228"/>
  <c r="H67" i="228"/>
  <c r="G67" i="228"/>
  <c r="D67" i="228"/>
  <c r="C67" i="228"/>
  <c r="U66" i="228"/>
  <c r="T66" i="228"/>
  <c r="H66" i="228"/>
  <c r="G66" i="228"/>
  <c r="D66" i="228"/>
  <c r="C66" i="228"/>
  <c r="U65" i="228"/>
  <c r="T65" i="228"/>
  <c r="H65" i="228"/>
  <c r="G65" i="228"/>
  <c r="D65" i="228"/>
  <c r="C65" i="228"/>
  <c r="U64" i="228"/>
  <c r="T64" i="228"/>
  <c r="H64" i="228"/>
  <c r="G64" i="228"/>
  <c r="D64" i="228"/>
  <c r="C64" i="228"/>
  <c r="U63" i="228"/>
  <c r="T63" i="228"/>
  <c r="R63" i="228"/>
  <c r="AD63" i="228" s="1"/>
  <c r="H63" i="228"/>
  <c r="G63" i="228"/>
  <c r="D63" i="228"/>
  <c r="C63" i="228"/>
  <c r="U62" i="228"/>
  <c r="T62" i="228"/>
  <c r="H62" i="228"/>
  <c r="G62" i="228"/>
  <c r="D62" i="228"/>
  <c r="C62" i="228"/>
  <c r="U61" i="228"/>
  <c r="T61" i="228"/>
  <c r="R61" i="228"/>
  <c r="AD61" i="228" s="1"/>
  <c r="H61" i="228"/>
  <c r="G61" i="228"/>
  <c r="D61" i="228"/>
  <c r="C61" i="228"/>
  <c r="U60" i="228"/>
  <c r="T60" i="228"/>
  <c r="H60" i="228"/>
  <c r="G60" i="228"/>
  <c r="D60" i="228"/>
  <c r="C60" i="228"/>
  <c r="U59" i="228"/>
  <c r="T59" i="228"/>
  <c r="R59" i="228"/>
  <c r="AD59" i="228" s="1"/>
  <c r="H59" i="228"/>
  <c r="G59" i="228"/>
  <c r="D59" i="228"/>
  <c r="C59" i="228"/>
  <c r="U58" i="228"/>
  <c r="T58" i="228"/>
  <c r="H58" i="228"/>
  <c r="G58" i="228"/>
  <c r="D58" i="228"/>
  <c r="C58" i="228"/>
  <c r="U57" i="228"/>
  <c r="T57" i="228"/>
  <c r="R57" i="228"/>
  <c r="AD57" i="228" s="1"/>
  <c r="H57" i="228"/>
  <c r="G57" i="228"/>
  <c r="D57" i="228"/>
  <c r="C57" i="228"/>
  <c r="U56" i="228"/>
  <c r="T56" i="228"/>
  <c r="H56" i="228"/>
  <c r="G56" i="228"/>
  <c r="D56" i="228"/>
  <c r="C56" i="228"/>
  <c r="U55" i="228"/>
  <c r="T55" i="228"/>
  <c r="R55" i="228"/>
  <c r="AD55" i="228" s="1"/>
  <c r="H55" i="228"/>
  <c r="G55" i="228"/>
  <c r="D55" i="228"/>
  <c r="C55" i="228"/>
  <c r="U54" i="228"/>
  <c r="T54" i="228"/>
  <c r="H54" i="228"/>
  <c r="G54" i="228"/>
  <c r="D54" i="228"/>
  <c r="C54" i="228"/>
  <c r="U53" i="228"/>
  <c r="T53" i="228"/>
  <c r="H53" i="228"/>
  <c r="G53" i="228"/>
  <c r="D53" i="228"/>
  <c r="C53" i="228"/>
  <c r="U52" i="228"/>
  <c r="T52" i="228"/>
  <c r="H52" i="228"/>
  <c r="G52" i="228"/>
  <c r="D52" i="228"/>
  <c r="C52" i="228"/>
  <c r="U51" i="228"/>
  <c r="T51" i="228"/>
  <c r="H51" i="228"/>
  <c r="G51" i="228"/>
  <c r="D51" i="228"/>
  <c r="C51" i="228"/>
  <c r="AC50" i="228"/>
  <c r="AB50" i="228"/>
  <c r="AA50" i="228"/>
  <c r="Z50" i="228"/>
  <c r="Y50" i="228"/>
  <c r="U50" i="228"/>
  <c r="T50" i="228"/>
  <c r="H50" i="228"/>
  <c r="G50" i="228"/>
  <c r="D50" i="228"/>
  <c r="C50" i="228"/>
  <c r="AC49" i="228"/>
  <c r="AB49" i="228"/>
  <c r="AA49" i="228"/>
  <c r="Z49" i="228"/>
  <c r="Y49" i="228"/>
  <c r="U49" i="228"/>
  <c r="T49" i="228"/>
  <c r="R49" i="228"/>
  <c r="H49" i="228"/>
  <c r="G49" i="228"/>
  <c r="D49" i="228"/>
  <c r="C49" i="228"/>
  <c r="U48" i="228"/>
  <c r="T48" i="228"/>
  <c r="H48" i="228"/>
  <c r="G48" i="228"/>
  <c r="D48" i="228"/>
  <c r="C48" i="228"/>
  <c r="U47" i="228"/>
  <c r="T47" i="228"/>
  <c r="S47" i="228"/>
  <c r="R47" i="228"/>
  <c r="H47" i="228"/>
  <c r="G47" i="228"/>
  <c r="D47" i="228"/>
  <c r="C47" i="228"/>
  <c r="AD46" i="228"/>
  <c r="U46" i="228"/>
  <c r="T46" i="228"/>
  <c r="H46" i="228"/>
  <c r="G46" i="228"/>
  <c r="D46" i="228"/>
  <c r="C46" i="228"/>
  <c r="AC45" i="228"/>
  <c r="AB45" i="228"/>
  <c r="AA45" i="228"/>
  <c r="Z45" i="228"/>
  <c r="Y45" i="228"/>
  <c r="U45" i="228"/>
  <c r="T45" i="228"/>
  <c r="H45" i="228"/>
  <c r="G45" i="228"/>
  <c r="D45" i="228"/>
  <c r="C45" i="228"/>
  <c r="AC44" i="228"/>
  <c r="AB44" i="228"/>
  <c r="AA44" i="228"/>
  <c r="Z44" i="228"/>
  <c r="Y44" i="228"/>
  <c r="U44" i="228"/>
  <c r="T44" i="228"/>
  <c r="R44" i="228"/>
  <c r="H44" i="228"/>
  <c r="G44" i="228"/>
  <c r="D44" i="228"/>
  <c r="C44" i="228"/>
  <c r="U43" i="228"/>
  <c r="T43" i="228"/>
  <c r="H43" i="228"/>
  <c r="G43" i="228"/>
  <c r="D43" i="228"/>
  <c r="C43" i="228"/>
  <c r="U42" i="228"/>
  <c r="T42" i="228"/>
  <c r="R42" i="228"/>
  <c r="S42" i="228" s="1"/>
  <c r="H42" i="228"/>
  <c r="G42" i="228"/>
  <c r="D42" i="228"/>
  <c r="C42" i="228"/>
  <c r="AD41" i="228"/>
  <c r="U41" i="228"/>
  <c r="T41" i="228"/>
  <c r="H41" i="228"/>
  <c r="G41" i="228"/>
  <c r="D41" i="228"/>
  <c r="C41" i="228"/>
  <c r="AC40" i="228"/>
  <c r="AB40" i="228"/>
  <c r="AA40" i="228"/>
  <c r="Z40" i="228"/>
  <c r="Y40" i="228"/>
  <c r="U40" i="228"/>
  <c r="T40" i="228"/>
  <c r="H40" i="228"/>
  <c r="G40" i="228"/>
  <c r="D40" i="228"/>
  <c r="C40" i="228"/>
  <c r="AC39" i="228"/>
  <c r="AB39" i="228"/>
  <c r="AA39" i="228"/>
  <c r="Z39" i="228"/>
  <c r="Y39" i="228"/>
  <c r="U39" i="228"/>
  <c r="T39" i="228"/>
  <c r="R39" i="228"/>
  <c r="H39" i="228"/>
  <c r="G39" i="228"/>
  <c r="D39" i="228"/>
  <c r="C39" i="228"/>
  <c r="U38" i="228"/>
  <c r="T38" i="228"/>
  <c r="H38" i="228"/>
  <c r="G38" i="228"/>
  <c r="D38" i="228"/>
  <c r="C38" i="228"/>
  <c r="U37" i="228"/>
  <c r="T37" i="228"/>
  <c r="R37" i="228"/>
  <c r="AD36" i="228" s="1"/>
  <c r="H37" i="228"/>
  <c r="G37" i="228"/>
  <c r="D37" i="228"/>
  <c r="C37" i="228"/>
  <c r="U36" i="228"/>
  <c r="T36" i="228"/>
  <c r="H36" i="228"/>
  <c r="G36" i="228"/>
  <c r="D36" i="228"/>
  <c r="C36" i="228"/>
  <c r="AC35" i="228"/>
  <c r="AB35" i="228"/>
  <c r="AA35" i="228"/>
  <c r="Z35" i="228"/>
  <c r="Y35" i="228"/>
  <c r="U35" i="228"/>
  <c r="T35" i="228"/>
  <c r="H35" i="228"/>
  <c r="G35" i="228"/>
  <c r="D35" i="228"/>
  <c r="C35" i="228"/>
  <c r="AC34" i="228"/>
  <c r="AB34" i="228"/>
  <c r="AA34" i="228"/>
  <c r="Z34" i="228"/>
  <c r="Y34" i="228"/>
  <c r="U34" i="228"/>
  <c r="T34" i="228"/>
  <c r="R34" i="228"/>
  <c r="H34" i="228"/>
  <c r="G34" i="228"/>
  <c r="D34" i="228"/>
  <c r="C34" i="228"/>
  <c r="U33" i="228"/>
  <c r="T33" i="228"/>
  <c r="H33" i="228"/>
  <c r="G33" i="228"/>
  <c r="D33" i="228"/>
  <c r="C33" i="228"/>
  <c r="U32" i="228"/>
  <c r="T32" i="228"/>
  <c r="R32" i="228"/>
  <c r="AD31" i="228" s="1"/>
  <c r="H32" i="228"/>
  <c r="G32" i="228"/>
  <c r="D32" i="228"/>
  <c r="C32" i="228"/>
  <c r="U31" i="228"/>
  <c r="T31" i="228"/>
  <c r="H31" i="228"/>
  <c r="G31" i="228"/>
  <c r="D31" i="228"/>
  <c r="C31" i="228"/>
  <c r="AC30" i="228"/>
  <c r="AB30" i="228"/>
  <c r="AA30" i="228"/>
  <c r="Z30" i="228"/>
  <c r="Y30" i="228"/>
  <c r="U30" i="228"/>
  <c r="T30" i="228"/>
  <c r="H30" i="228"/>
  <c r="G30" i="228"/>
  <c r="D30" i="228"/>
  <c r="C30" i="228"/>
  <c r="AC29" i="228"/>
  <c r="AB29" i="228"/>
  <c r="AA29" i="228"/>
  <c r="Z29" i="228"/>
  <c r="Y29" i="228"/>
  <c r="U29" i="228"/>
  <c r="T29" i="228"/>
  <c r="R29" i="228"/>
  <c r="H29" i="228"/>
  <c r="G29" i="228"/>
  <c r="D29" i="228"/>
  <c r="C29" i="228"/>
  <c r="U28" i="228"/>
  <c r="T28" i="228"/>
  <c r="H28" i="228"/>
  <c r="G28" i="228"/>
  <c r="D28" i="228"/>
  <c r="C28" i="228"/>
  <c r="U27" i="228"/>
  <c r="T27" i="228"/>
  <c r="R27" i="228"/>
  <c r="S27" i="228" s="1"/>
  <c r="H27" i="228"/>
  <c r="G27" i="228"/>
  <c r="D27" i="228"/>
  <c r="C27" i="228"/>
  <c r="U26" i="228"/>
  <c r="T26" i="228"/>
  <c r="H26" i="228"/>
  <c r="G26" i="228"/>
  <c r="D26" i="228"/>
  <c r="C26" i="228"/>
  <c r="U25" i="228"/>
  <c r="T25" i="228"/>
  <c r="H25" i="228"/>
  <c r="G25" i="228"/>
  <c r="D25" i="228"/>
  <c r="C25" i="228"/>
  <c r="U24" i="228"/>
  <c r="T24" i="228"/>
  <c r="H24" i="228"/>
  <c r="G24" i="228"/>
  <c r="D24" i="228"/>
  <c r="C24" i="228"/>
  <c r="U23" i="228"/>
  <c r="T23" i="228"/>
  <c r="H23" i="228"/>
  <c r="G23" i="228"/>
  <c r="D23" i="228"/>
  <c r="C23" i="228"/>
  <c r="U22" i="228"/>
  <c r="T22" i="228"/>
  <c r="R22" i="228"/>
  <c r="AD22" i="228" s="1"/>
  <c r="H22" i="228"/>
  <c r="G22" i="228"/>
  <c r="D22" i="228"/>
  <c r="C22" i="228"/>
  <c r="U21" i="228"/>
  <c r="T21" i="228"/>
  <c r="R21" i="228"/>
  <c r="AD21" i="228" s="1"/>
  <c r="H21" i="228"/>
  <c r="G21" i="228"/>
  <c r="D21" i="228"/>
  <c r="C21" i="228"/>
  <c r="U20" i="228"/>
  <c r="T20" i="228"/>
  <c r="R20" i="228"/>
  <c r="AD20" i="228" s="1"/>
  <c r="H20" i="228"/>
  <c r="G20" i="228"/>
  <c r="D20" i="228"/>
  <c r="C20" i="228"/>
  <c r="U19" i="228"/>
  <c r="T19" i="228"/>
  <c r="R19" i="228"/>
  <c r="AD19" i="228" s="1"/>
  <c r="H19" i="228"/>
  <c r="G19" i="228"/>
  <c r="D19" i="228"/>
  <c r="C19" i="228"/>
  <c r="U18" i="228"/>
  <c r="T18" i="228"/>
  <c r="R18" i="228"/>
  <c r="AD18" i="228" s="1"/>
  <c r="H18" i="228"/>
  <c r="G18" i="228"/>
  <c r="D18" i="228"/>
  <c r="C18" i="228"/>
  <c r="U17" i="228"/>
  <c r="T17" i="228"/>
  <c r="R17" i="228"/>
  <c r="AD17" i="228" s="1"/>
  <c r="H17" i="228"/>
  <c r="G17" i="228"/>
  <c r="D17" i="228"/>
  <c r="C17" i="228"/>
  <c r="U16" i="228"/>
  <c r="T16" i="228"/>
  <c r="R16" i="228"/>
  <c r="AD16" i="228" s="1"/>
  <c r="H16" i="228"/>
  <c r="G16" i="228"/>
  <c r="D16" i="228"/>
  <c r="C16" i="228"/>
  <c r="U15" i="228"/>
  <c r="T15" i="228"/>
  <c r="R15" i="228"/>
  <c r="AD15" i="228" s="1"/>
  <c r="H15" i="228"/>
  <c r="G15" i="228"/>
  <c r="D15" i="228"/>
  <c r="C15" i="228"/>
  <c r="U14" i="228"/>
  <c r="T14" i="228"/>
  <c r="R14" i="228"/>
  <c r="AD14" i="228" s="1"/>
  <c r="H14" i="228"/>
  <c r="G14" i="228"/>
  <c r="D14" i="228"/>
  <c r="C14" i="228"/>
  <c r="U13" i="228"/>
  <c r="T13" i="228"/>
  <c r="R13" i="228"/>
  <c r="AD13" i="228" s="1"/>
  <c r="H13" i="228"/>
  <c r="G13" i="228"/>
  <c r="D13" i="228"/>
  <c r="C13" i="228"/>
  <c r="U12" i="228"/>
  <c r="T12" i="228"/>
  <c r="H12" i="228"/>
  <c r="G12" i="228"/>
  <c r="D12" i="228"/>
  <c r="C12" i="228"/>
  <c r="U11" i="228"/>
  <c r="T11" i="228"/>
  <c r="H11" i="228"/>
  <c r="G11" i="228"/>
  <c r="D11" i="228"/>
  <c r="C11" i="228"/>
  <c r="U10" i="228"/>
  <c r="T10" i="228"/>
  <c r="H10" i="228"/>
  <c r="G10" i="228"/>
  <c r="D10" i="228"/>
  <c r="C10" i="228"/>
  <c r="U9" i="228"/>
  <c r="T9" i="228"/>
  <c r="H9" i="228"/>
  <c r="G9" i="228"/>
  <c r="D9" i="228"/>
  <c r="C9" i="228"/>
  <c r="AC8" i="228"/>
  <c r="AB8" i="228"/>
  <c r="AA8" i="228"/>
  <c r="Z8" i="228"/>
  <c r="Y8" i="228"/>
  <c r="U8" i="228"/>
  <c r="T8" i="228"/>
  <c r="R8" i="228"/>
  <c r="H8" i="228"/>
  <c r="G8" i="228"/>
  <c r="D8" i="228"/>
  <c r="C8" i="228"/>
  <c r="AG7" i="228"/>
  <c r="U7" i="228"/>
  <c r="T7" i="228"/>
  <c r="H7" i="228"/>
  <c r="G7" i="228"/>
  <c r="D7" i="228"/>
  <c r="C7" i="228"/>
  <c r="AQ6" i="228"/>
  <c r="U6" i="228"/>
  <c r="T6" i="228"/>
  <c r="H6" i="228"/>
  <c r="G6" i="228"/>
  <c r="D6" i="228"/>
  <c r="C6" i="228"/>
  <c r="AK5" i="228"/>
  <c r="AJ5" i="228"/>
  <c r="AC7" i="228" s="1"/>
  <c r="AI5" i="228"/>
  <c r="Y61" i="228" s="1"/>
  <c r="AG3" i="228"/>
  <c r="C2" i="228" a="1"/>
  <c r="C2" i="228" s="1"/>
  <c r="B2" i="228" a="1"/>
  <c r="B2" i="228" s="1"/>
  <c r="C1" i="228"/>
  <c r="B1" i="228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P107" i="231" a="1"/>
  <c r="AL107" i="231" a="1"/>
  <c r="AM106" i="231" a="1"/>
  <c r="AM5" i="231" a="1"/>
  <c r="AO107" i="231" a="1"/>
  <c r="AP106" i="231" a="1"/>
  <c r="AL106" i="231" a="1"/>
  <c r="AP5" i="231" a="1"/>
  <c r="AL5" i="231" a="1"/>
  <c r="AN107" i="231" a="1"/>
  <c r="AO106" i="231" a="1"/>
  <c r="AO5" i="231" a="1"/>
  <c r="AM107" i="231" a="1"/>
  <c r="AN106" i="231" a="1"/>
  <c r="AN5" i="231" a="1"/>
  <c r="AP107" i="230" a="1"/>
  <c r="AL107" i="230" a="1"/>
  <c r="AM106" i="230" a="1"/>
  <c r="AM5" i="230" a="1"/>
  <c r="AO107" i="230" a="1"/>
  <c r="AP106" i="230" a="1"/>
  <c r="AL106" i="230" a="1"/>
  <c r="AP5" i="230" a="1"/>
  <c r="AL5" i="230" a="1"/>
  <c r="AN107" i="230" a="1"/>
  <c r="AO106" i="230" a="1"/>
  <c r="AO5" i="230" a="1"/>
  <c r="AM107" i="230" a="1"/>
  <c r="AN106" i="230" a="1"/>
  <c r="AN5" i="230" a="1"/>
  <c r="AP107" i="229" a="1"/>
  <c r="AL107" i="229" a="1"/>
  <c r="AM106" i="229" a="1"/>
  <c r="AM5" i="229" a="1"/>
  <c r="AO107" i="229" a="1"/>
  <c r="AP106" i="229" a="1"/>
  <c r="AL106" i="229" a="1"/>
  <c r="AP5" i="229" a="1"/>
  <c r="AL5" i="229" a="1"/>
  <c r="AN107" i="229" a="1"/>
  <c r="AO106" i="229" a="1"/>
  <c r="AO5" i="229" a="1"/>
  <c r="AM107" i="229" a="1"/>
  <c r="AN106" i="229" a="1"/>
  <c r="AN5" i="229" a="1"/>
  <c r="AP107" i="228" a="1"/>
  <c r="AL107" i="228" a="1"/>
  <c r="AM106" i="228" a="1"/>
  <c r="AM5" i="228" a="1"/>
  <c r="AO107" i="228" a="1"/>
  <c r="AP106" i="228" a="1"/>
  <c r="AL106" i="228" a="1"/>
  <c r="AP5" i="228" a="1"/>
  <c r="AL5" i="228" a="1"/>
  <c r="AN107" i="228" a="1"/>
  <c r="AO106" i="228" a="1"/>
  <c r="AO5" i="228" a="1"/>
  <c r="AM107" i="228" a="1"/>
  <c r="AN106" i="228" a="1"/>
  <c r="AN5" i="228" a="1"/>
  <c r="AO106" i="4" a="1"/>
  <c r="AO107" i="4" a="1"/>
  <c r="AM107" i="4" a="1"/>
  <c r="AL106" i="4" a="1"/>
  <c r="AL107" i="4" a="1"/>
  <c r="AO5" i="4" a="1"/>
  <c r="AP5" i="4" a="1"/>
  <c r="AP106" i="4" a="1"/>
  <c r="AM106" i="4" a="1"/>
  <c r="AN106" i="4" a="1"/>
  <c r="AN5" i="4" a="1"/>
  <c r="AP107" i="4" a="1"/>
  <c r="AN107" i="4" a="1"/>
  <c r="AL5" i="4" a="1"/>
  <c r="AM5" i="4" a="1"/>
  <c r="Z46" i="231" l="1"/>
  <c r="Z21" i="231"/>
  <c r="Z13" i="231"/>
  <c r="Z18" i="231"/>
  <c r="AC13" i="231"/>
  <c r="Y14" i="231"/>
  <c r="AC18" i="231"/>
  <c r="Z19" i="231"/>
  <c r="AC32" i="231"/>
  <c r="AA14" i="231"/>
  <c r="AB19" i="231"/>
  <c r="Y20" i="231"/>
  <c r="AA15" i="231"/>
  <c r="AA16" i="231"/>
  <c r="AC14" i="231"/>
  <c r="Z15" i="231"/>
  <c r="AC20" i="231"/>
  <c r="Y21" i="231"/>
  <c r="AC16" i="231"/>
  <c r="Y17" i="231"/>
  <c r="AB21" i="231"/>
  <c r="AB22" i="231"/>
  <c r="AB17" i="231"/>
  <c r="AC17" i="231"/>
  <c r="Y18" i="231"/>
  <c r="Y13" i="231"/>
  <c r="AB15" i="231"/>
  <c r="Y16" i="231"/>
  <c r="AA18" i="231"/>
  <c r="AC21" i="231"/>
  <c r="AA22" i="231"/>
  <c r="AB13" i="231"/>
  <c r="AB16" i="231"/>
  <c r="AA19" i="231"/>
  <c r="AC22" i="231"/>
  <c r="AB46" i="231"/>
  <c r="Z14" i="231"/>
  <c r="Z17" i="231"/>
  <c r="Z20" i="231"/>
  <c r="Z27" i="231"/>
  <c r="AA42" i="231"/>
  <c r="AG9" i="231"/>
  <c r="AQ9" i="231" s="1"/>
  <c r="AA31" i="231"/>
  <c r="AG5" i="231"/>
  <c r="AQ5" i="231" s="1"/>
  <c r="AB31" i="231"/>
  <c r="AC41" i="231"/>
  <c r="Y41" i="231"/>
  <c r="AG2" i="231"/>
  <c r="AC26" i="231"/>
  <c r="AB26" i="231"/>
  <c r="AA36" i="231"/>
  <c r="Z36" i="231"/>
  <c r="Y36" i="231"/>
  <c r="Z26" i="231"/>
  <c r="Y31" i="231"/>
  <c r="AB36" i="231"/>
  <c r="AA41" i="231"/>
  <c r="Y46" i="231"/>
  <c r="AG4" i="231"/>
  <c r="AA46" i="231"/>
  <c r="Y26" i="231"/>
  <c r="AC31" i="231"/>
  <c r="Z31" i="231"/>
  <c r="AC36" i="231"/>
  <c r="Z41" i="231"/>
  <c r="AC46" i="231"/>
  <c r="AA26" i="231"/>
  <c r="AB41" i="231"/>
  <c r="AN5" i="231"/>
  <c r="AN106" i="231"/>
  <c r="AM107" i="231"/>
  <c r="AO5" i="231"/>
  <c r="AO106" i="231"/>
  <c r="AN107" i="231"/>
  <c r="AL5" i="231"/>
  <c r="AP5" i="231"/>
  <c r="AL106" i="231"/>
  <c r="AP106" i="231"/>
  <c r="AO107" i="231"/>
  <c r="AM5" i="231"/>
  <c r="AM106" i="231"/>
  <c r="AL107" i="231"/>
  <c r="AP107" i="231"/>
  <c r="AG18" i="231"/>
  <c r="AQ18" i="231" s="1"/>
  <c r="AG11" i="231"/>
  <c r="AQ11" i="231" s="1"/>
  <c r="AA7" i="231"/>
  <c r="AA32" i="231"/>
  <c r="Y42" i="231"/>
  <c r="AB47" i="231"/>
  <c r="AA55" i="231"/>
  <c r="AC59" i="231"/>
  <c r="Z61" i="231"/>
  <c r="AB7" i="231"/>
  <c r="Y15" i="231"/>
  <c r="Z16" i="231"/>
  <c r="AA17" i="231"/>
  <c r="AB18" i="231"/>
  <c r="AC19" i="231"/>
  <c r="AA21" i="231"/>
  <c r="Y27" i="231"/>
  <c r="AB32" i="231"/>
  <c r="Z42" i="231"/>
  <c r="AC47" i="231"/>
  <c r="AB55" i="231"/>
  <c r="Y57" i="231"/>
  <c r="AA61" i="231"/>
  <c r="AC7" i="231"/>
  <c r="AC55" i="231"/>
  <c r="Z57" i="231"/>
  <c r="AB61" i="231"/>
  <c r="Y63" i="231"/>
  <c r="AA27" i="231"/>
  <c r="S32" i="231"/>
  <c r="AD32" i="231" s="1"/>
  <c r="Y37" i="231"/>
  <c r="AB42" i="231"/>
  <c r="AA57" i="231"/>
  <c r="AC61" i="231"/>
  <c r="Z63" i="231"/>
  <c r="AA20" i="231"/>
  <c r="Y22" i="231"/>
  <c r="AB27" i="231"/>
  <c r="Z37" i="231"/>
  <c r="AC42" i="231"/>
  <c r="AB57" i="231"/>
  <c r="Y59" i="231"/>
  <c r="AA63" i="231"/>
  <c r="AA13" i="231"/>
  <c r="AB14" i="231"/>
  <c r="AC15" i="231"/>
  <c r="Y19" i="231"/>
  <c r="AB20" i="231"/>
  <c r="Z22" i="231"/>
  <c r="AC27" i="231"/>
  <c r="AA37" i="231"/>
  <c r="Y47" i="231"/>
  <c r="AC57" i="231"/>
  <c r="Z59" i="231"/>
  <c r="AB63" i="231"/>
  <c r="Y7" i="231"/>
  <c r="Y32" i="231"/>
  <c r="AB37" i="231"/>
  <c r="Z47" i="231"/>
  <c r="Y55" i="231"/>
  <c r="AA59" i="231"/>
  <c r="AC63" i="231"/>
  <c r="Z32" i="231"/>
  <c r="AC37" i="231"/>
  <c r="AA47" i="231"/>
  <c r="Z55" i="231"/>
  <c r="AB59" i="231"/>
  <c r="S27" i="230"/>
  <c r="AA46" i="230"/>
  <c r="AD19" i="230"/>
  <c r="AD18" i="230"/>
  <c r="AD16" i="230"/>
  <c r="AD15" i="230"/>
  <c r="AD14" i="230"/>
  <c r="AG11" i="230" s="1"/>
  <c r="AQ11" i="230" s="1"/>
  <c r="AD22" i="230"/>
  <c r="AD21" i="230"/>
  <c r="AD20" i="230"/>
  <c r="AB26" i="230"/>
  <c r="AG5" i="230"/>
  <c r="AQ5" i="230" s="1"/>
  <c r="AA31" i="230"/>
  <c r="Z31" i="230"/>
  <c r="AB36" i="230"/>
  <c r="Y41" i="230"/>
  <c r="Y31" i="230"/>
  <c r="Y36" i="230"/>
  <c r="AB46" i="230"/>
  <c r="AA26" i="230"/>
  <c r="Z41" i="230"/>
  <c r="AC41" i="230"/>
  <c r="Y46" i="230"/>
  <c r="AC31" i="230"/>
  <c r="AA36" i="230"/>
  <c r="AB41" i="230"/>
  <c r="AC36" i="230"/>
  <c r="Z36" i="230"/>
  <c r="AC46" i="230"/>
  <c r="AB31" i="230"/>
  <c r="AG2" i="230"/>
  <c r="AA41" i="230"/>
  <c r="Y26" i="230"/>
  <c r="AG4" i="230"/>
  <c r="AQ4" i="230" s="1"/>
  <c r="AQ3" i="230" s="1"/>
  <c r="B3" i="230" s="1"/>
  <c r="Z46" i="230"/>
  <c r="AC26" i="230"/>
  <c r="Z26" i="230"/>
  <c r="AN5" i="230"/>
  <c r="AN106" i="230"/>
  <c r="AM107" i="230"/>
  <c r="AO5" i="230"/>
  <c r="AO106" i="230"/>
  <c r="AN107" i="230"/>
  <c r="AL5" i="230"/>
  <c r="AP5" i="230"/>
  <c r="AL106" i="230"/>
  <c r="AP106" i="230"/>
  <c r="AO107" i="230"/>
  <c r="AM5" i="230"/>
  <c r="AM106" i="230"/>
  <c r="AL107" i="230"/>
  <c r="AP107" i="230"/>
  <c r="AD47" i="230"/>
  <c r="AD42" i="230"/>
  <c r="AG18" i="230"/>
  <c r="AQ18" i="230" s="1"/>
  <c r="AA7" i="230"/>
  <c r="Y16" i="230"/>
  <c r="Z17" i="230"/>
  <c r="AA18" i="230"/>
  <c r="AB19" i="230"/>
  <c r="Z21" i="230"/>
  <c r="AC22" i="230"/>
  <c r="AA32" i="230"/>
  <c r="Y42" i="230"/>
  <c r="AB47" i="230"/>
  <c r="AA55" i="230"/>
  <c r="AC59" i="230"/>
  <c r="Z61" i="230"/>
  <c r="AB7" i="230"/>
  <c r="Y15" i="230"/>
  <c r="Z16" i="230"/>
  <c r="AA17" i="230"/>
  <c r="AB18" i="230"/>
  <c r="AC19" i="230"/>
  <c r="AA21" i="230"/>
  <c r="Y27" i="230"/>
  <c r="AB32" i="230"/>
  <c r="Z42" i="230"/>
  <c r="AC47" i="230"/>
  <c r="AB55" i="230"/>
  <c r="Y57" i="230"/>
  <c r="AA61" i="230"/>
  <c r="AC7" i="230"/>
  <c r="Y14" i="230"/>
  <c r="Z15" i="230"/>
  <c r="AA16" i="230"/>
  <c r="AB17" i="230"/>
  <c r="AC18" i="230"/>
  <c r="Y20" i="230"/>
  <c r="AB21" i="230"/>
  <c r="Z27" i="230"/>
  <c r="AC32" i="230"/>
  <c r="AA42" i="230"/>
  <c r="AC55" i="230"/>
  <c r="Z57" i="230"/>
  <c r="AB61" i="230"/>
  <c r="Y63" i="230"/>
  <c r="Y13" i="230"/>
  <c r="Z14" i="230"/>
  <c r="AA15" i="230"/>
  <c r="AB16" i="230"/>
  <c r="AC17" i="230"/>
  <c r="Z20" i="230"/>
  <c r="AC21" i="230"/>
  <c r="AA27" i="230"/>
  <c r="S32" i="230"/>
  <c r="AD32" i="230" s="1"/>
  <c r="Y37" i="230"/>
  <c r="AB42" i="230"/>
  <c r="AA57" i="230"/>
  <c r="AC61" i="230"/>
  <c r="Z63" i="230"/>
  <c r="Z13" i="230"/>
  <c r="AA14" i="230"/>
  <c r="AB15" i="230"/>
  <c r="AC16" i="230"/>
  <c r="AA20" i="230"/>
  <c r="Y22" i="230"/>
  <c r="AB27" i="230"/>
  <c r="Z37" i="230"/>
  <c r="AC42" i="230"/>
  <c r="AB57" i="230"/>
  <c r="Y59" i="230"/>
  <c r="AA63" i="230"/>
  <c r="AA13" i="230"/>
  <c r="AB14" i="230"/>
  <c r="AC15" i="230"/>
  <c r="Y19" i="230"/>
  <c r="AB20" i="230"/>
  <c r="Z22" i="230"/>
  <c r="AC27" i="230"/>
  <c r="AA37" i="230"/>
  <c r="Y47" i="230"/>
  <c r="AC57" i="230"/>
  <c r="Z59" i="230"/>
  <c r="AB63" i="230"/>
  <c r="Y7" i="230"/>
  <c r="AB13" i="230"/>
  <c r="AC14" i="230"/>
  <c r="Y18" i="230"/>
  <c r="Z19" i="230"/>
  <c r="AC20" i="230"/>
  <c r="AA22" i="230"/>
  <c r="Y32" i="230"/>
  <c r="AB37" i="230"/>
  <c r="Z47" i="230"/>
  <c r="Y55" i="230"/>
  <c r="AA59" i="230"/>
  <c r="AC63" i="230"/>
  <c r="AC13" i="230"/>
  <c r="Y17" i="230"/>
  <c r="Z18" i="230"/>
  <c r="AA19" i="230"/>
  <c r="Y21" i="230"/>
  <c r="AB22" i="230"/>
  <c r="Z32" i="230"/>
  <c r="AC37" i="230"/>
  <c r="AA47" i="230"/>
  <c r="Z55" i="230"/>
  <c r="AB59" i="230"/>
  <c r="AG2" i="229"/>
  <c r="Y7" i="229"/>
  <c r="AA13" i="229"/>
  <c r="Z13" i="229"/>
  <c r="AB13" i="229"/>
  <c r="AA14" i="229"/>
  <c r="Y19" i="229"/>
  <c r="AA20" i="229"/>
  <c r="Y22" i="229"/>
  <c r="Y47" i="229"/>
  <c r="AB14" i="229"/>
  <c r="AB15" i="229"/>
  <c r="AB20" i="229"/>
  <c r="Z22" i="229"/>
  <c r="AB27" i="229"/>
  <c r="AA37" i="229"/>
  <c r="AC15" i="229"/>
  <c r="AC16" i="229"/>
  <c r="AC27" i="229"/>
  <c r="AD31" i="229"/>
  <c r="AG9" i="229"/>
  <c r="AQ9" i="229" s="1"/>
  <c r="AC46" i="229"/>
  <c r="AB41" i="229"/>
  <c r="AB46" i="229"/>
  <c r="AG5" i="229"/>
  <c r="AQ5" i="229" s="1"/>
  <c r="AC31" i="229"/>
  <c r="AA46" i="229"/>
  <c r="Z31" i="229"/>
  <c r="AC36" i="229"/>
  <c r="Z36" i="229"/>
  <c r="Y36" i="229"/>
  <c r="Z26" i="229"/>
  <c r="AC41" i="229"/>
  <c r="Z41" i="229"/>
  <c r="Y46" i="229"/>
  <c r="AG4" i="229"/>
  <c r="AB26" i="229"/>
  <c r="AA26" i="229"/>
  <c r="AA41" i="229"/>
  <c r="AA36" i="229"/>
  <c r="Y26" i="229"/>
  <c r="AB31" i="229"/>
  <c r="Y31" i="229"/>
  <c r="AA31" i="229"/>
  <c r="AB36" i="229"/>
  <c r="Z46" i="229"/>
  <c r="AC26" i="229"/>
  <c r="Y41" i="229"/>
  <c r="AN5" i="229"/>
  <c r="AN106" i="229"/>
  <c r="AM107" i="229"/>
  <c r="AO5" i="229"/>
  <c r="AO106" i="229"/>
  <c r="AN107" i="229"/>
  <c r="AL5" i="229"/>
  <c r="AP5" i="229"/>
  <c r="AL106" i="229"/>
  <c r="AP106" i="229"/>
  <c r="AO107" i="229"/>
  <c r="AM5" i="229"/>
  <c r="AM106" i="229"/>
  <c r="AL107" i="229"/>
  <c r="AP107" i="229"/>
  <c r="AD32" i="229"/>
  <c r="AD47" i="229"/>
  <c r="AG11" i="229"/>
  <c r="AQ11" i="229" s="1"/>
  <c r="AD42" i="229"/>
  <c r="AG18" i="229"/>
  <c r="AQ18" i="229" s="1"/>
  <c r="AD37" i="229"/>
  <c r="AA7" i="229"/>
  <c r="Y16" i="229"/>
  <c r="Z17" i="229"/>
  <c r="AA18" i="229"/>
  <c r="AB19" i="229"/>
  <c r="Z21" i="229"/>
  <c r="AC22" i="229"/>
  <c r="AD26" i="229"/>
  <c r="AG14" i="229" s="1"/>
  <c r="AA32" i="229"/>
  <c r="Y42" i="229"/>
  <c r="AB47" i="229"/>
  <c r="AA55" i="229"/>
  <c r="AC59" i="229"/>
  <c r="Z61" i="229"/>
  <c r="AB7" i="229"/>
  <c r="Y15" i="229"/>
  <c r="Z16" i="229"/>
  <c r="AA17" i="229"/>
  <c r="AB18" i="229"/>
  <c r="AC19" i="229"/>
  <c r="AA21" i="229"/>
  <c r="Y27" i="229"/>
  <c r="AB32" i="229"/>
  <c r="Z42" i="229"/>
  <c r="AC47" i="229"/>
  <c r="AB55" i="229"/>
  <c r="Y57" i="229"/>
  <c r="AA61" i="229"/>
  <c r="AC7" i="229"/>
  <c r="Y14" i="229"/>
  <c r="Z15" i="229"/>
  <c r="AA16" i="229"/>
  <c r="AB17" i="229"/>
  <c r="AC18" i="229"/>
  <c r="Y20" i="229"/>
  <c r="AB21" i="229"/>
  <c r="Z27" i="229"/>
  <c r="AC32" i="229"/>
  <c r="AA42" i="229"/>
  <c r="AC55" i="229"/>
  <c r="Z57" i="229"/>
  <c r="AB61" i="229"/>
  <c r="Y63" i="229"/>
  <c r="Y13" i="229"/>
  <c r="Z14" i="229"/>
  <c r="AA15" i="229"/>
  <c r="AB16" i="229"/>
  <c r="AC17" i="229"/>
  <c r="Z20" i="229"/>
  <c r="AC21" i="229"/>
  <c r="AA27" i="229"/>
  <c r="Y37" i="229"/>
  <c r="AB42" i="229"/>
  <c r="AA57" i="229"/>
  <c r="AC61" i="229"/>
  <c r="Z63" i="229"/>
  <c r="Z37" i="229"/>
  <c r="AC42" i="229"/>
  <c r="AB57" i="229"/>
  <c r="Y59" i="229"/>
  <c r="AA63" i="229"/>
  <c r="AC57" i="229"/>
  <c r="Z59" i="229"/>
  <c r="AB63" i="229"/>
  <c r="AC14" i="229"/>
  <c r="Y18" i="229"/>
  <c r="Z19" i="229"/>
  <c r="AC20" i="229"/>
  <c r="AA22" i="229"/>
  <c r="Y32" i="229"/>
  <c r="AB37" i="229"/>
  <c r="Z47" i="229"/>
  <c r="Y55" i="229"/>
  <c r="AA59" i="229"/>
  <c r="AC63" i="229"/>
  <c r="AC13" i="229"/>
  <c r="Y17" i="229"/>
  <c r="Z18" i="229"/>
  <c r="AA19" i="229"/>
  <c r="Y21" i="229"/>
  <c r="AB22" i="229"/>
  <c r="Z32" i="229"/>
  <c r="AC37" i="229"/>
  <c r="AA47" i="229"/>
  <c r="Z55" i="229"/>
  <c r="AB59" i="229"/>
  <c r="AC14" i="228"/>
  <c r="Z15" i="228"/>
  <c r="AA16" i="228"/>
  <c r="AA19" i="228"/>
  <c r="Z13" i="228"/>
  <c r="AA22" i="228"/>
  <c r="AA13" i="228"/>
  <c r="AB14" i="228"/>
  <c r="AC18" i="228"/>
  <c r="Z19" i="228"/>
  <c r="AC32" i="228"/>
  <c r="AB19" i="228"/>
  <c r="AC22" i="228"/>
  <c r="Y7" i="228"/>
  <c r="AB15" i="228"/>
  <c r="Y16" i="228"/>
  <c r="AC16" i="228"/>
  <c r="Y17" i="228"/>
  <c r="AA18" i="228"/>
  <c r="AB22" i="228"/>
  <c r="Z27" i="228"/>
  <c r="Y20" i="228"/>
  <c r="AB27" i="228"/>
  <c r="AB37" i="228"/>
  <c r="AA20" i="228"/>
  <c r="AC37" i="228"/>
  <c r="AB13" i="228"/>
  <c r="Z17" i="228"/>
  <c r="AC20" i="228"/>
  <c r="Y21" i="228"/>
  <c r="Z7" i="228"/>
  <c r="AC13" i="228"/>
  <c r="Y14" i="228"/>
  <c r="AB17" i="228"/>
  <c r="Y18" i="228"/>
  <c r="Z21" i="228"/>
  <c r="Y32" i="228"/>
  <c r="AA14" i="228"/>
  <c r="Z18" i="228"/>
  <c r="AB21" i="228"/>
  <c r="Y22" i="228"/>
  <c r="Z32" i="228"/>
  <c r="AD26" i="228"/>
  <c r="AG14" i="228"/>
  <c r="AG9" i="228"/>
  <c r="AQ9" i="228" s="1"/>
  <c r="Z46" i="228"/>
  <c r="AB46" i="228"/>
  <c r="AG5" i="228"/>
  <c r="AQ5" i="228" s="1"/>
  <c r="Y41" i="228"/>
  <c r="AA26" i="228"/>
  <c r="AG2" i="228"/>
  <c r="Z31" i="228"/>
  <c r="Z41" i="228"/>
  <c r="Y46" i="228"/>
  <c r="AB26" i="228"/>
  <c r="AA36" i="228"/>
  <c r="Y31" i="228"/>
  <c r="AC36" i="228"/>
  <c r="AA31" i="228"/>
  <c r="AB36" i="228"/>
  <c r="AC41" i="228"/>
  <c r="Z36" i="228"/>
  <c r="AB31" i="228"/>
  <c r="AC31" i="228"/>
  <c r="AA41" i="228"/>
  <c r="AG4" i="228"/>
  <c r="Y26" i="228"/>
  <c r="AA46" i="228"/>
  <c r="AC46" i="228"/>
  <c r="Y36" i="228"/>
  <c r="AB41" i="228"/>
  <c r="AC26" i="228"/>
  <c r="Z26" i="228"/>
  <c r="AN5" i="228"/>
  <c r="AN106" i="228"/>
  <c r="AM107" i="228"/>
  <c r="AO5" i="228"/>
  <c r="AO106" i="228"/>
  <c r="AN107" i="228"/>
  <c r="AL5" i="228"/>
  <c r="AP5" i="228"/>
  <c r="AL106" i="228"/>
  <c r="AP106" i="228"/>
  <c r="AO107" i="228"/>
  <c r="AM5" i="228"/>
  <c r="AM106" i="228"/>
  <c r="AL107" i="228"/>
  <c r="AP107" i="228"/>
  <c r="AG11" i="228"/>
  <c r="AQ11" i="228" s="1"/>
  <c r="AG18" i="228"/>
  <c r="AQ18" i="228" s="1"/>
  <c r="AA7" i="228"/>
  <c r="AA32" i="228"/>
  <c r="S37" i="228"/>
  <c r="Y42" i="228"/>
  <c r="AB47" i="228"/>
  <c r="AA55" i="228"/>
  <c r="AC59" i="228"/>
  <c r="Z61" i="228"/>
  <c r="AB7" i="228"/>
  <c r="Y15" i="228"/>
  <c r="Z16" i="228"/>
  <c r="AA17" i="228"/>
  <c r="AB18" i="228"/>
  <c r="AC19" i="228"/>
  <c r="AA21" i="228"/>
  <c r="Y27" i="228"/>
  <c r="AB32" i="228"/>
  <c r="Z42" i="228"/>
  <c r="AC47" i="228"/>
  <c r="AB55" i="228"/>
  <c r="Y57" i="228"/>
  <c r="AA61" i="228"/>
  <c r="AA42" i="228"/>
  <c r="AC55" i="228"/>
  <c r="Z57" i="228"/>
  <c r="AB61" i="228"/>
  <c r="Y63" i="228"/>
  <c r="Y13" i="228"/>
  <c r="Z14" i="228"/>
  <c r="AA15" i="228"/>
  <c r="AB16" i="228"/>
  <c r="AC17" i="228"/>
  <c r="Z20" i="228"/>
  <c r="AC21" i="228"/>
  <c r="AA27" i="228"/>
  <c r="S32" i="228"/>
  <c r="AD32" i="228" s="1"/>
  <c r="Y37" i="228"/>
  <c r="AB42" i="228"/>
  <c r="AA57" i="228"/>
  <c r="AC61" i="228"/>
  <c r="Z63" i="228"/>
  <c r="Z37" i="228"/>
  <c r="AC42" i="228"/>
  <c r="AB57" i="228"/>
  <c r="Y59" i="228"/>
  <c r="AA63" i="228"/>
  <c r="AC15" i="228"/>
  <c r="Y19" i="228"/>
  <c r="AB20" i="228"/>
  <c r="Z22" i="228"/>
  <c r="AC27" i="228"/>
  <c r="AA37" i="228"/>
  <c r="Y47" i="228"/>
  <c r="AC57" i="228"/>
  <c r="Z59" i="228"/>
  <c r="AB63" i="228"/>
  <c r="Z47" i="228"/>
  <c r="Y55" i="228"/>
  <c r="AA59" i="228"/>
  <c r="AC63" i="228"/>
  <c r="AA47" i="228"/>
  <c r="Z55" i="228"/>
  <c r="AB59" i="228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N6" i="231" a="1"/>
  <c r="AO6" i="231" a="1"/>
  <c r="AM6" i="231" a="1"/>
  <c r="AL6" i="231" a="1"/>
  <c r="AP6" i="231" a="1"/>
  <c r="AN6" i="230" a="1"/>
  <c r="AO6" i="230" a="1"/>
  <c r="AM6" i="230" a="1"/>
  <c r="AL6" i="230" a="1"/>
  <c r="AP6" i="230" a="1"/>
  <c r="AN6" i="229" a="1"/>
  <c r="AO6" i="229" a="1"/>
  <c r="AM6" i="229" a="1"/>
  <c r="AL6" i="229" a="1"/>
  <c r="AP6" i="229" a="1"/>
  <c r="AN6" i="228" a="1"/>
  <c r="AO6" i="228" a="1"/>
  <c r="AM6" i="228" a="1"/>
  <c r="AL6" i="228" a="1"/>
  <c r="AP6" i="228" a="1"/>
  <c r="AL6" i="4" a="1"/>
  <c r="AN6" i="4" a="1"/>
  <c r="AM6" i="4" a="1"/>
  <c r="AP6" i="4" a="1"/>
  <c r="AO6" i="4" a="1"/>
  <c r="AG8" i="231" l="1"/>
  <c r="AQ8" i="231" s="1"/>
  <c r="AQ7" i="231" s="1"/>
  <c r="L5" i="231" s="1"/>
  <c r="AQ4" i="231"/>
  <c r="AQ3" i="231" s="1"/>
  <c r="B3" i="231" s="1"/>
  <c r="AD43" i="231"/>
  <c r="AG12" i="231"/>
  <c r="AD33" i="231"/>
  <c r="AP6" i="231"/>
  <c r="AB48" i="231" s="1"/>
  <c r="AL6" i="231"/>
  <c r="AB28" i="231" s="1"/>
  <c r="AM6" i="231"/>
  <c r="Y33" i="231" s="1"/>
  <c r="AO6" i="231"/>
  <c r="AB43" i="231" s="1"/>
  <c r="AN6" i="231"/>
  <c r="AB38" i="231" s="1"/>
  <c r="AQ4" i="228"/>
  <c r="AQ3" i="228" s="1"/>
  <c r="B3" i="228" s="1"/>
  <c r="AD27" i="231"/>
  <c r="AG17" i="231"/>
  <c r="AQ17" i="231" s="1"/>
  <c r="L52" i="231" s="1"/>
  <c r="AG10" i="231"/>
  <c r="AQ10" i="231" s="1"/>
  <c r="L10" i="231" s="1"/>
  <c r="AD42" i="231"/>
  <c r="AD37" i="231"/>
  <c r="AD48" i="231"/>
  <c r="AD38" i="231"/>
  <c r="AD47" i="231"/>
  <c r="AD28" i="231"/>
  <c r="AD33" i="230"/>
  <c r="AD43" i="230"/>
  <c r="AG8" i="230"/>
  <c r="AQ8" i="230" s="1"/>
  <c r="AQ7" i="230" s="1"/>
  <c r="L5" i="230" s="1"/>
  <c r="AD38" i="230"/>
  <c r="AG12" i="230"/>
  <c r="AP6" i="230"/>
  <c r="AB48" i="230" s="1"/>
  <c r="AL6" i="230"/>
  <c r="AC28" i="230" s="1"/>
  <c r="AM6" i="230"/>
  <c r="Z33" i="230" s="1"/>
  <c r="AO6" i="230"/>
  <c r="AB43" i="230" s="1"/>
  <c r="AN6" i="230"/>
  <c r="AC38" i="230" s="1"/>
  <c r="AQ4" i="229"/>
  <c r="AQ3" i="229" s="1"/>
  <c r="B3" i="229" s="1"/>
  <c r="AG17" i="230"/>
  <c r="AQ17" i="230" s="1"/>
  <c r="L52" i="230" s="1"/>
  <c r="AG10" i="230"/>
  <c r="AQ10" i="230" s="1"/>
  <c r="L10" i="230" s="1"/>
  <c r="AD27" i="230"/>
  <c r="AD37" i="230"/>
  <c r="AD48" i="230"/>
  <c r="AD28" i="230"/>
  <c r="Y38" i="230"/>
  <c r="AG15" i="229"/>
  <c r="AD33" i="229"/>
  <c r="AD43" i="229"/>
  <c r="AG12" i="229"/>
  <c r="AG8" i="229"/>
  <c r="AQ8" i="229" s="1"/>
  <c r="AQ7" i="229" s="1"/>
  <c r="L5" i="229" s="1"/>
  <c r="AP6" i="229"/>
  <c r="AC48" i="229" s="1"/>
  <c r="AL6" i="229"/>
  <c r="AC28" i="229" s="1"/>
  <c r="AM6" i="229"/>
  <c r="Y33" i="229" s="1"/>
  <c r="AO6" i="229"/>
  <c r="AB43" i="229" s="1"/>
  <c r="AN6" i="229"/>
  <c r="Z38" i="229" s="1"/>
  <c r="AG10" i="229"/>
  <c r="AQ10" i="229" s="1"/>
  <c r="L10" i="229" s="1"/>
  <c r="AG17" i="229"/>
  <c r="AQ17" i="229" s="1"/>
  <c r="L52" i="229" s="1"/>
  <c r="AD48" i="229"/>
  <c r="AD38" i="229"/>
  <c r="AD28" i="229"/>
  <c r="AD33" i="228"/>
  <c r="AD43" i="228"/>
  <c r="AD48" i="228"/>
  <c r="AD38" i="228"/>
  <c r="AG12" i="228"/>
  <c r="AD28" i="228"/>
  <c r="AG8" i="228"/>
  <c r="AQ8" i="228" s="1"/>
  <c r="AQ7" i="228" s="1"/>
  <c r="L5" i="228" s="1"/>
  <c r="AP6" i="228"/>
  <c r="AC48" i="228" s="1"/>
  <c r="AL6" i="228"/>
  <c r="AA28" i="228" s="1"/>
  <c r="AM6" i="228"/>
  <c r="AC33" i="228" s="1"/>
  <c r="AO6" i="228"/>
  <c r="Y43" i="228" s="1"/>
  <c r="AN6" i="228"/>
  <c r="AB38" i="228" s="1"/>
  <c r="AG10" i="228"/>
  <c r="AQ10" i="228" s="1"/>
  <c r="L10" i="228" s="1"/>
  <c r="AD47" i="228"/>
  <c r="AD37" i="228"/>
  <c r="AD27" i="228"/>
  <c r="AG17" i="228"/>
  <c r="AQ17" i="228" s="1"/>
  <c r="L52" i="228" s="1"/>
  <c r="AD42" i="228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AC28" i="231" l="1"/>
  <c r="Y28" i="231"/>
  <c r="AC43" i="231"/>
  <c r="Z43" i="231"/>
  <c r="AA43" i="231"/>
  <c r="AA33" i="231"/>
  <c r="Z28" i="231"/>
  <c r="AB33" i="231"/>
  <c r="AA38" i="231"/>
  <c r="AC38" i="231"/>
  <c r="AC33" i="231"/>
  <c r="AA28" i="231"/>
  <c r="Y48" i="231"/>
  <c r="Y43" i="231"/>
  <c r="AC48" i="231"/>
  <c r="Z48" i="231"/>
  <c r="AG16" i="231"/>
  <c r="AQ16" i="231" s="1"/>
  <c r="Z33" i="231"/>
  <c r="AA48" i="231"/>
  <c r="Y38" i="231"/>
  <c r="Z38" i="230"/>
  <c r="Z38" i="231"/>
  <c r="AG15" i="231"/>
  <c r="AA38" i="230"/>
  <c r="AB38" i="230"/>
  <c r="Y33" i="230"/>
  <c r="AA28" i="230"/>
  <c r="AA33" i="230"/>
  <c r="AA48" i="230"/>
  <c r="AB33" i="230"/>
  <c r="AC33" i="230"/>
  <c r="Z28" i="230"/>
  <c r="Y48" i="230"/>
  <c r="Z48" i="230"/>
  <c r="Y28" i="230"/>
  <c r="AC43" i="230"/>
  <c r="Y43" i="230"/>
  <c r="Z43" i="230"/>
  <c r="AA43" i="230"/>
  <c r="AB28" i="230"/>
  <c r="AC48" i="230"/>
  <c r="AG16" i="230"/>
  <c r="AQ16" i="230" s="1"/>
  <c r="AB38" i="229"/>
  <c r="AG15" i="230"/>
  <c r="AA38" i="229"/>
  <c r="AB28" i="229"/>
  <c r="AA28" i="229"/>
  <c r="Y48" i="229"/>
  <c r="Z48" i="229"/>
  <c r="AA48" i="229"/>
  <c r="Z33" i="229"/>
  <c r="AA33" i="229"/>
  <c r="AG16" i="229"/>
  <c r="AQ16" i="229" s="1"/>
  <c r="AQ15" i="229" s="1"/>
  <c r="AQ14" i="229" s="1"/>
  <c r="AB33" i="229"/>
  <c r="AB48" i="229"/>
  <c r="AC33" i="229"/>
  <c r="AC43" i="229"/>
  <c r="Y28" i="229"/>
  <c r="Z28" i="229"/>
  <c r="Y43" i="229"/>
  <c r="Z43" i="229"/>
  <c r="AC38" i="229"/>
  <c r="AA43" i="229"/>
  <c r="Y38" i="229"/>
  <c r="AG16" i="228"/>
  <c r="AQ16" i="228" s="1"/>
  <c r="AC38" i="228"/>
  <c r="Y38" i="228"/>
  <c r="Y48" i="228"/>
  <c r="Z48" i="228"/>
  <c r="AA48" i="228"/>
  <c r="AB48" i="228"/>
  <c r="AA43" i="228"/>
  <c r="AB43" i="228"/>
  <c r="AB28" i="228"/>
  <c r="Z43" i="228"/>
  <c r="AC28" i="228"/>
  <c r="Y33" i="228"/>
  <c r="Z38" i="228"/>
  <c r="AA33" i="228"/>
  <c r="Y28" i="228"/>
  <c r="AA38" i="228"/>
  <c r="AC43" i="228"/>
  <c r="AB33" i="228"/>
  <c r="Z28" i="228"/>
  <c r="AG15" i="228"/>
  <c r="Z33" i="228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Q15" i="231" l="1"/>
  <c r="AQ14" i="231" s="1"/>
  <c r="AG13" i="231"/>
  <c r="D1" i="231" s="1"/>
  <c r="F5" i="1" s="1"/>
  <c r="AG13" i="230"/>
  <c r="D1" i="230" s="1"/>
  <c r="F4" i="1" s="1"/>
  <c r="AQ15" i="230"/>
  <c r="AQ14" i="230" s="1"/>
  <c r="AG13" i="229"/>
  <c r="AQ13" i="229" s="1"/>
  <c r="AQ12" i="229" s="1"/>
  <c r="L24" i="229" s="1"/>
  <c r="AQ15" i="228"/>
  <c r="AQ14" i="228" s="1"/>
  <c r="AG13" i="228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AQ13" i="231" l="1"/>
  <c r="AQ12" i="231" s="1"/>
  <c r="L24" i="231" s="1"/>
  <c r="AQ13" i="230"/>
  <c r="AQ12" i="230" s="1"/>
  <c r="L24" i="230" s="1"/>
  <c r="D1" i="229"/>
  <c r="F3" i="1" s="1"/>
  <c r="AQ13" i="228"/>
  <c r="AQ12" i="228" s="1"/>
  <c r="L24" i="228" s="1"/>
  <c r="D1" i="228"/>
  <c r="F2" i="1" s="1"/>
  <c r="AQ6" i="4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<sst xmlns="http://schemas.openxmlformats.org/spreadsheetml/2006/main" count="910" uniqueCount="191">
  <si>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</si>
  <si>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</si>
  <si>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</si>
  <si>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</si>
  <si>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</si>
  <si>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</si>
  <si>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</si>
  <si>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</si>
  <si>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</si>
  <si>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</si>
  <si>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</si>
  <si>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</si>
  <si>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</si>
  <si>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</si>
  <si>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</si>
  <si>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</si>
  <si>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</si>
  <si>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</si>
  <si>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</si>
  <si>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</si>
  <si>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</si>
  <si>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</si>
  <si>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</si>
  <si>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</si>
  <si>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</si>
  <si>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</si>
  <si>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</si>
  <si>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</si>
  <si>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</si>
  <si>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</si>
  <si>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</si>
  <si>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</si>
  <si>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</si>
  <si>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</si>
  <si>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</si>
  <si>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FIELDS</t>
    <phoneticPr fontId="2"/>
  </si>
  <si>
    <t>TABLE CONSTRAINT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</si>
  <si>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</si>
  <si>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</si>
  <si>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</si>
  <si>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派生元項目名</t>
    <rPh sb="2" eb="3">
      <t>モト</t>
    </rPh>
    <rPh sb="3" eb="5">
      <t>コウモク</t>
    </rPh>
    <rPh sb="5" eb="6">
      <t>メイ</t>
    </rPh>
    <phoneticPr fontId="3"/>
  </si>
  <si>
    <t>integer</t>
  </si>
  <si>
    <t>date</t>
  </si>
  <si>
    <t>varchar(30)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</si>
  <si>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</si>
  <si>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</si>
  <si>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</si>
  <si>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</si>
  <si>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</si>
  <si>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</si>
  <si>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</si>
  <si>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</si>
  <si>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</si>
  <si>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</si>
  <si>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</si>
  <si>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</si>
  <si>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Foreign Key</t>
    <phoneticPr fontId="2"/>
  </si>
  <si>
    <t>Primary Key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</si>
  <si>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</si>
  <si>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</si>
  <si>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</si>
  <si>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</si>
  <si>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</si>
  <si>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</si>
  <si>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</si>
  <si>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</si>
  <si>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</si>
  <si>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</si>
  <si>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</si>
  <si>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</si>
  <si>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</si>
  <si>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</si>
  <si>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</si>
  <si>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</si>
  <si>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</si>
  <si>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</si>
  <si>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</si>
  <si>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</si>
  <si>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</si>
  <si>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</si>
  <si>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</si>
  <si>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</si>
  <si>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</si>
  <si>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</si>
  <si>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</si>
  <si>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</si>
  <si>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</si>
  <si>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</si>
  <si>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</si>
  <si>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</si>
  <si>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</si>
  <si>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</si>
  <si>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</si>
  <si>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</si>
  <si>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</si>
  <si>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</si>
  <si>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</si>
  <si>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</si>
  <si>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</si>
  <si>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</si>
  <si>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</si>
  <si>
    <t>日付</t>
  </si>
  <si>
    <t>sys_date</t>
  </si>
  <si>
    <t>受注番号</t>
  </si>
  <si>
    <t>order_no</t>
  </si>
  <si>
    <t>varchar(10)</t>
  </si>
  <si>
    <t>(order_no ~* '^RO-[0-9]{7}$')</t>
  </si>
  <si>
    <t>operator_name</t>
  </si>
  <si>
    <t>(LENGTH(operator_name) &gt;= 3)</t>
  </si>
  <si>
    <t>担当者名称</t>
  </si>
  <si>
    <t>得意先名称</t>
  </si>
  <si>
    <t>customer_name</t>
  </si>
  <si>
    <t>varchar(50)</t>
  </si>
  <si>
    <t>受注先企業名</t>
  </si>
  <si>
    <t>金額</t>
  </si>
  <si>
    <t>price</t>
  </si>
  <si>
    <t>(0 &lt;= price AND price &lt;= 9999999)</t>
  </si>
  <si>
    <t>商品ID</t>
  </si>
  <si>
    <t>product_id</t>
  </si>
  <si>
    <t>varchar(5)</t>
  </si>
  <si>
    <t>(product_id ~* '^P[0-9]{4}$')</t>
  </si>
  <si>
    <t>商品名</t>
  </si>
  <si>
    <t>product_name</t>
  </si>
  <si>
    <t>商品名称</t>
  </si>
  <si>
    <t>数量</t>
  </si>
  <si>
    <t>quantity</t>
  </si>
  <si>
    <t>(0 &lt;= quantity AND quantity &lt;= 1000)</t>
  </si>
  <si>
    <t>受注ステータス</t>
  </si>
  <si>
    <t>order_status</t>
  </si>
  <si>
    <t>受注状況</t>
  </si>
  <si>
    <t>受注日</t>
  </si>
  <si>
    <t>order_date</t>
  </si>
  <si>
    <t>受注担当者名</t>
  </si>
  <si>
    <t>order_pic</t>
  </si>
  <si>
    <t>受注総額</t>
  </si>
  <si>
    <t>商品原価</t>
  </si>
  <si>
    <t>cost_price</t>
  </si>
  <si>
    <t>(0 &lt;= cost_price AND cost_price &lt;= 9999999)</t>
  </si>
  <si>
    <t>受注数</t>
  </si>
  <si>
    <t>receiving_quantity</t>
  </si>
  <si>
    <t>(0 &lt;= receiving_quantity AND receiving_quantity &lt;= 1000)</t>
  </si>
  <si>
    <t>出荷数</t>
  </si>
  <si>
    <t>shipping_quantity</t>
  </si>
  <si>
    <t>(0 &lt;= shipping_quantity AND shipping_quantity &lt;= 1000)</t>
  </si>
  <si>
    <t>キャンセル数</t>
  </si>
  <si>
    <t>cancel_quantity</t>
  </si>
  <si>
    <t>(0 &lt;= cancel_quantity AND cancel_quantity &lt;= 1000)</t>
  </si>
  <si>
    <t>受注残数</t>
  </si>
  <si>
    <t>remaining_quantity</t>
  </si>
  <si>
    <t>(0 &lt;= remaining_quantity AND remaining_quantity &lt;= 1000)</t>
  </si>
  <si>
    <t>販売単価</t>
  </si>
  <si>
    <t>sellling_price</t>
  </si>
  <si>
    <t>(0 &lt;= sellling_price AND sellling_price &lt;= 9999999)</t>
  </si>
  <si>
    <t>受注</t>
  </si>
  <si>
    <t>受注番号</t>
    <phoneticPr fontId="2"/>
  </si>
  <si>
    <t>受注明細</t>
  </si>
  <si>
    <t>受注明細</t>
    <phoneticPr fontId="2"/>
  </si>
  <si>
    <t>受注</t>
    <phoneticPr fontId="2"/>
  </si>
  <si>
    <t>商品</t>
  </si>
  <si>
    <t>商品ID</t>
    <phoneticPr fontId="2"/>
  </si>
  <si>
    <t>受注金額</t>
  </si>
  <si>
    <t>total_order_price</t>
  </si>
  <si>
    <t>(0 &lt;= total_order_price AND total_order_price &lt;= 9999999)</t>
  </si>
  <si>
    <t>受注残額</t>
  </si>
  <si>
    <t>remaining_order_price</t>
  </si>
  <si>
    <t>(0 &lt;= remaining_order_price AND remaining_order_price &lt;= 9999999)</t>
  </si>
  <si>
    <t>担当者名</t>
  </si>
  <si>
    <t>商品ステータス</t>
  </si>
  <si>
    <t>product_status</t>
  </si>
  <si>
    <t>商品状況</t>
  </si>
  <si>
    <t>担当者ID</t>
  </si>
  <si>
    <t>operator_id</t>
  </si>
  <si>
    <t>(operator_id ~* '^U[0-9]{4}$')</t>
  </si>
  <si>
    <t>受注担当者ID</t>
  </si>
  <si>
    <t>(order_pic ~* '^U[0-9]{4}$')</t>
  </si>
  <si>
    <t>商品管理者ID</t>
  </si>
  <si>
    <t>product_pic</t>
  </si>
  <si>
    <t>(product_pic ~* '^U[0-9]{4}$')</t>
  </si>
  <si>
    <t>商品担当者ID</t>
  </si>
  <si>
    <t>-</t>
    <phoneticPr fontId="2"/>
  </si>
  <si>
    <t/>
  </si>
  <si>
    <t>current_timestamp</t>
  </si>
  <si>
    <t>0</t>
  </si>
  <si>
    <t>PREPARING</t>
  </si>
  <si>
    <t>products</t>
  </si>
  <si>
    <t>orders</t>
    <phoneticPr fontId="2"/>
  </si>
  <si>
    <t>担当者</t>
  </si>
  <si>
    <t>担当者ID</t>
    <phoneticPr fontId="2"/>
  </si>
  <si>
    <t>orders</t>
  </si>
  <si>
    <t>order_details</t>
  </si>
  <si>
    <t>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</si>
</sst>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  <xf numFmtId="49" fontId="16" fillId="0" borderId="8" xfId="0" applyNumberFormat="1" applyFont="1" applyBorder="1"/>
    <xf numFmtId="49" fontId="16" fillId="0" borderId="9" xfId="0" applyNumberFormat="1" applyFont="1" applyBorder="1"/>
    <xf numFmtId="49" fontId="16" fillId="0" borderId="10" xfId="0" applyNumberFormat="1" applyFont="1" applyBorder="1"/>
    <xf numFmtId="0" fontId="7" fillId="10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20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315"/>
  <sheetViews>
    <sheetView showGridLines="0" workbookViewId="0">
      <pane ySplit="1" topLeftCell="A2" activePane="bottomLeft" state="frozen"/>
      <selection pane="bottomLeft" activeCell="H2" sqref="H2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31</v>
      </c>
      <c r="E1" s="3" t="s">
        <v>32</v>
      </c>
      <c r="F1" s="4" t="s">
        <v>2</v>
      </c>
      <c r="G1" s="5" t="s">
        <v>4</v>
      </c>
      <c r="H1" s="5" t="s">
        <v>40</v>
      </c>
    </row>
    <row r="2" spans="1:9" ht="18">
      <c r="A2" s="60" t="s">
        <v>103</v>
      </c>
      <c r="B2" s="60" t="s">
        <v>104</v>
      </c>
      <c r="C2" s="60" t="s">
        <v>105</v>
      </c>
      <c r="D2" s="60" t="s">
        <v>106</v>
      </c>
      <c r="E2" s="60" t="b">
        <v>0</v>
      </c>
      <c r="F2" s="60" t="s">
        <v>103</v>
      </c>
      <c r="G2" s="62">
        <v>0</v>
      </c>
      <c r="H2" s="60" t="s">
        <v>103</v>
      </c>
      <c r="I2"/>
    </row>
    <row r="3" spans="1:9" ht="18">
      <c r="A3" s="60" t="s">
        <v>101</v>
      </c>
      <c r="B3" s="60" t="s">
        <v>102</v>
      </c>
      <c r="C3" s="60" t="s">
        <v>42</v>
      </c>
      <c r="D3" s="60"/>
      <c r="E3" s="60" t="b">
        <v>0</v>
      </c>
      <c r="F3" s="60" t="s">
        <v>101</v>
      </c>
      <c r="G3" s="62">
        <v>0</v>
      </c>
      <c r="H3" s="60" t="s">
        <v>101</v>
      </c>
      <c r="I3"/>
    </row>
    <row r="4" spans="1:9" ht="18">
      <c r="A4" s="60" t="s">
        <v>166</v>
      </c>
      <c r="B4" s="60" t="s">
        <v>107</v>
      </c>
      <c r="C4" s="60" t="s">
        <v>43</v>
      </c>
      <c r="D4" s="60" t="s">
        <v>108</v>
      </c>
      <c r="E4" s="60" t="b">
        <v>0</v>
      </c>
      <c r="F4" s="60" t="s">
        <v>109</v>
      </c>
      <c r="G4" s="62">
        <v>0</v>
      </c>
      <c r="H4" s="60" t="s">
        <v>166</v>
      </c>
      <c r="I4"/>
    </row>
    <row r="5" spans="1:9" ht="18">
      <c r="A5" s="60" t="s">
        <v>110</v>
      </c>
      <c r="B5" s="60" t="s">
        <v>111</v>
      </c>
      <c r="C5" s="60" t="s">
        <v>112</v>
      </c>
      <c r="D5" s="60"/>
      <c r="E5" s="60" t="b">
        <v>0</v>
      </c>
      <c r="F5" s="60" t="s">
        <v>113</v>
      </c>
      <c r="G5" s="62">
        <v>0</v>
      </c>
      <c r="H5" s="60" t="s">
        <v>110</v>
      </c>
      <c r="I5"/>
    </row>
    <row r="6" spans="1:9" ht="18">
      <c r="A6" s="60" t="s">
        <v>114</v>
      </c>
      <c r="B6" s="60" t="s">
        <v>115</v>
      </c>
      <c r="C6" s="60" t="s">
        <v>41</v>
      </c>
      <c r="D6" s="60" t="s">
        <v>116</v>
      </c>
      <c r="E6" s="60" t="b">
        <v>0</v>
      </c>
      <c r="F6" s="60" t="s">
        <v>114</v>
      </c>
      <c r="G6" s="62">
        <v>0</v>
      </c>
      <c r="H6" s="60" t="s">
        <v>114</v>
      </c>
      <c r="I6"/>
    </row>
    <row r="7" spans="1:9" ht="18">
      <c r="A7" s="60" t="s">
        <v>117</v>
      </c>
      <c r="B7" s="60" t="s">
        <v>118</v>
      </c>
      <c r="C7" s="60" t="s">
        <v>119</v>
      </c>
      <c r="D7" s="60" t="s">
        <v>120</v>
      </c>
      <c r="E7" s="60" t="b">
        <v>0</v>
      </c>
      <c r="F7" s="60" t="s">
        <v>117</v>
      </c>
      <c r="G7" s="62">
        <v>0</v>
      </c>
      <c r="H7" s="60" t="s">
        <v>117</v>
      </c>
      <c r="I7"/>
    </row>
    <row r="8" spans="1:9" ht="18">
      <c r="A8" s="60" t="s">
        <v>121</v>
      </c>
      <c r="B8" s="60" t="s">
        <v>122</v>
      </c>
      <c r="C8" s="60" t="s">
        <v>43</v>
      </c>
      <c r="D8" s="60"/>
      <c r="E8" s="60" t="b">
        <v>0</v>
      </c>
      <c r="F8" s="60" t="s">
        <v>123</v>
      </c>
      <c r="G8" s="62">
        <v>0</v>
      </c>
      <c r="H8" s="60" t="s">
        <v>121</v>
      </c>
      <c r="I8"/>
    </row>
    <row r="9" spans="1:9" ht="18">
      <c r="A9" s="60" t="s">
        <v>124</v>
      </c>
      <c r="B9" s="60" t="s">
        <v>125</v>
      </c>
      <c r="C9" s="60" t="s">
        <v>41</v>
      </c>
      <c r="D9" s="60" t="s">
        <v>126</v>
      </c>
      <c r="E9" s="60" t="b">
        <v>0</v>
      </c>
      <c r="F9" s="60" t="s">
        <v>124</v>
      </c>
      <c r="G9" s="62">
        <v>0</v>
      </c>
      <c r="H9" s="60" t="s">
        <v>124</v>
      </c>
      <c r="I9"/>
    </row>
    <row r="10" spans="1:9" ht="18">
      <c r="A10" s="60" t="s">
        <v>167</v>
      </c>
      <c r="B10" s="60" t="s">
        <v>168</v>
      </c>
      <c r="C10" s="60" t="s">
        <v>168</v>
      </c>
      <c r="D10" s="60"/>
      <c r="E10" s="60" t="b">
        <v>1</v>
      </c>
      <c r="F10" s="60" t="s">
        <v>169</v>
      </c>
      <c r="G10" s="62">
        <v>0</v>
      </c>
      <c r="H10" s="60" t="s">
        <v>167</v>
      </c>
      <c r="I10"/>
    </row>
    <row r="11" spans="1:9" ht="18">
      <c r="A11" s="60" t="s">
        <v>127</v>
      </c>
      <c r="B11" s="60" t="s">
        <v>128</v>
      </c>
      <c r="C11" s="60" t="s">
        <v>128</v>
      </c>
      <c r="D11" s="60"/>
      <c r="E11" s="60" t="b">
        <v>1</v>
      </c>
      <c r="F11" s="60" t="s">
        <v>129</v>
      </c>
      <c r="G11" s="62">
        <v>0</v>
      </c>
      <c r="H11" s="60" t="s">
        <v>127</v>
      </c>
      <c r="I11"/>
    </row>
    <row r="12" spans="1:9" ht="18">
      <c r="A12" s="60" t="s">
        <v>170</v>
      </c>
      <c r="B12" s="60" t="s">
        <v>171</v>
      </c>
      <c r="C12" s="60" t="s">
        <v>119</v>
      </c>
      <c r="D12" s="60" t="s">
        <v>172</v>
      </c>
      <c r="E12" s="60" t="b">
        <v>0</v>
      </c>
      <c r="F12" s="60" t="s">
        <v>170</v>
      </c>
      <c r="G12" s="62">
        <v>0</v>
      </c>
      <c r="H12" s="60" t="s">
        <v>170</v>
      </c>
      <c r="I12"/>
    </row>
    <row r="13" spans="1:9" ht="18">
      <c r="A13" s="60" t="s">
        <v>130</v>
      </c>
      <c r="B13" s="60" t="s">
        <v>131</v>
      </c>
      <c r="C13" s="60" t="s">
        <v>42</v>
      </c>
      <c r="D13" s="60"/>
      <c r="E13" s="60" t="b">
        <v>0</v>
      </c>
      <c r="F13" s="60" t="s">
        <v>130</v>
      </c>
      <c r="G13" s="62">
        <v>1</v>
      </c>
      <c r="H13" s="60" t="s">
        <v>101</v>
      </c>
      <c r="I13"/>
    </row>
    <row r="14" spans="1:9" ht="18">
      <c r="A14" s="60" t="s">
        <v>173</v>
      </c>
      <c r="B14" s="60" t="s">
        <v>133</v>
      </c>
      <c r="C14" s="60" t="s">
        <v>119</v>
      </c>
      <c r="D14" s="60" t="s">
        <v>174</v>
      </c>
      <c r="E14" s="60" t="b">
        <v>0</v>
      </c>
      <c r="F14" s="60" t="s">
        <v>132</v>
      </c>
      <c r="G14" s="62">
        <v>1</v>
      </c>
      <c r="H14" s="60" t="s">
        <v>170</v>
      </c>
      <c r="I14"/>
    </row>
    <row r="15" spans="1:9" ht="18">
      <c r="A15" s="60" t="s">
        <v>160</v>
      </c>
      <c r="B15" s="60" t="s">
        <v>161</v>
      </c>
      <c r="C15" s="60" t="s">
        <v>41</v>
      </c>
      <c r="D15" s="60" t="s">
        <v>162</v>
      </c>
      <c r="E15" s="60" t="b">
        <v>0</v>
      </c>
      <c r="F15" s="60" t="s">
        <v>134</v>
      </c>
      <c r="G15" s="62">
        <v>1</v>
      </c>
      <c r="H15" s="60" t="s">
        <v>114</v>
      </c>
      <c r="I15"/>
    </row>
    <row r="16" spans="1:9" ht="18">
      <c r="A16" s="60" t="s">
        <v>135</v>
      </c>
      <c r="B16" s="60" t="s">
        <v>136</v>
      </c>
      <c r="C16" s="60" t="s">
        <v>41</v>
      </c>
      <c r="D16" s="60" t="s">
        <v>137</v>
      </c>
      <c r="E16" s="60" t="b">
        <v>0</v>
      </c>
      <c r="F16" s="60" t="s">
        <v>135</v>
      </c>
      <c r="G16" s="62">
        <v>1</v>
      </c>
      <c r="H16" s="60" t="s">
        <v>114</v>
      </c>
      <c r="I16"/>
    </row>
    <row r="17" spans="1:9" ht="18">
      <c r="A17" s="60" t="s">
        <v>138</v>
      </c>
      <c r="B17" s="60" t="s">
        <v>139</v>
      </c>
      <c r="C17" s="60" t="s">
        <v>41</v>
      </c>
      <c r="D17" s="60" t="s">
        <v>140</v>
      </c>
      <c r="E17" s="60" t="b">
        <v>0</v>
      </c>
      <c r="F17" s="60" t="s">
        <v>138</v>
      </c>
      <c r="G17" s="62">
        <v>1</v>
      </c>
      <c r="H17" s="60" t="s">
        <v>124</v>
      </c>
      <c r="I17"/>
    </row>
    <row r="18" spans="1:9" ht="18">
      <c r="A18" s="60" t="s">
        <v>141</v>
      </c>
      <c r="B18" s="60" t="s">
        <v>142</v>
      </c>
      <c r="C18" s="60" t="s">
        <v>41</v>
      </c>
      <c r="D18" s="60" t="s">
        <v>143</v>
      </c>
      <c r="E18" s="60" t="b">
        <v>0</v>
      </c>
      <c r="F18" s="60" t="s">
        <v>141</v>
      </c>
      <c r="G18" s="62">
        <v>1</v>
      </c>
      <c r="H18" s="60" t="s">
        <v>124</v>
      </c>
      <c r="I18"/>
    </row>
    <row r="19" spans="1:9" ht="18">
      <c r="A19" s="60" t="s">
        <v>144</v>
      </c>
      <c r="B19" s="60" t="s">
        <v>145</v>
      </c>
      <c r="C19" s="60" t="s">
        <v>41</v>
      </c>
      <c r="D19" s="60" t="s">
        <v>146</v>
      </c>
      <c r="E19" s="60" t="b">
        <v>0</v>
      </c>
      <c r="F19" s="60" t="s">
        <v>144</v>
      </c>
      <c r="G19" s="62">
        <v>1</v>
      </c>
      <c r="H19" s="60" t="s">
        <v>124</v>
      </c>
      <c r="I19"/>
    </row>
    <row r="20" spans="1:9" ht="18">
      <c r="A20" s="60" t="s">
        <v>147</v>
      </c>
      <c r="B20" s="60" t="s">
        <v>148</v>
      </c>
      <c r="C20" s="60" t="s">
        <v>41</v>
      </c>
      <c r="D20" s="60" t="s">
        <v>149</v>
      </c>
      <c r="E20" s="60" t="b">
        <v>0</v>
      </c>
      <c r="F20" s="60" t="s">
        <v>147</v>
      </c>
      <c r="G20" s="62">
        <v>1</v>
      </c>
      <c r="H20" s="60" t="s">
        <v>124</v>
      </c>
      <c r="I20"/>
    </row>
    <row r="21" spans="1:9" ht="18">
      <c r="A21" s="60" t="s">
        <v>150</v>
      </c>
      <c r="B21" s="60" t="s">
        <v>151</v>
      </c>
      <c r="C21" s="60" t="s">
        <v>41</v>
      </c>
      <c r="D21" s="60" t="s">
        <v>152</v>
      </c>
      <c r="E21" s="60" t="b">
        <v>0</v>
      </c>
      <c r="F21" s="60" t="s">
        <v>150</v>
      </c>
      <c r="G21" s="62">
        <v>1</v>
      </c>
      <c r="H21" s="60" t="s">
        <v>114</v>
      </c>
      <c r="I21"/>
    </row>
    <row r="22" spans="1:9" ht="18">
      <c r="A22" s="60" t="s">
        <v>175</v>
      </c>
      <c r="B22" s="60" t="s">
        <v>176</v>
      </c>
      <c r="C22" s="60" t="s">
        <v>119</v>
      </c>
      <c r="D22" s="60" t="s">
        <v>177</v>
      </c>
      <c r="E22" s="60" t="b">
        <v>0</v>
      </c>
      <c r="F22" s="60" t="s">
        <v>178</v>
      </c>
      <c r="G22" s="62">
        <v>1</v>
      </c>
      <c r="H22" s="60" t="s">
        <v>170</v>
      </c>
      <c r="I22"/>
    </row>
    <row r="23" spans="1:9" ht="18">
      <c r="A23" s="61" t="s">
        <v>163</v>
      </c>
      <c r="B23" s="61" t="s">
        <v>164</v>
      </c>
      <c r="C23" s="61" t="s">
        <v>41</v>
      </c>
      <c r="D23" s="61" t="s">
        <v>165</v>
      </c>
      <c r="E23" s="61" t="b">
        <v>0</v>
      </c>
      <c r="F23" s="61" t="s">
        <v>163</v>
      </c>
      <c r="G23" s="63">
        <v>1</v>
      </c>
      <c r="H23" s="61" t="s">
        <v>114</v>
      </c>
      <c r="I23"/>
    </row>
    <row r="24" spans="1:9" ht="18">
      <c r="A24"/>
      <c r="B24"/>
      <c r="C24"/>
      <c r="D24"/>
      <c r="E24"/>
      <c r="F24"/>
      <c r="G24"/>
      <c r="H24"/>
      <c r="I24"/>
    </row>
    <row r="25" spans="1:9" ht="18">
      <c r="A25"/>
      <c r="B25"/>
      <c r="C25"/>
      <c r="D25"/>
      <c r="E25"/>
      <c r="F25"/>
      <c r="G25"/>
      <c r="H25"/>
      <c r="I25"/>
    </row>
    <row r="26" spans="1:9" ht="18">
      <c r="A26"/>
      <c r="B26"/>
      <c r="C26"/>
      <c r="D26"/>
      <c r="E26"/>
      <c r="F26"/>
      <c r="G26"/>
      <c r="H26"/>
      <c r="I26"/>
    </row>
    <row r="27" spans="1:9" ht="18">
      <c r="A27"/>
      <c r="B27"/>
      <c r="C27"/>
      <c r="D27"/>
      <c r="E27"/>
      <c r="F27"/>
      <c r="G27"/>
      <c r="H27"/>
      <c r="I27"/>
    </row>
    <row r="28" spans="1:9" ht="18">
      <c r="A28"/>
      <c r="B28"/>
      <c r="C28"/>
      <c r="D28"/>
      <c r="E28"/>
      <c r="F28"/>
      <c r="G28"/>
      <c r="H28"/>
      <c r="I28"/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  <row r="284" spans="1:9" ht="18">
      <c r="A284"/>
      <c r="B284"/>
      <c r="C284"/>
      <c r="D284"/>
      <c r="E284"/>
      <c r="F284"/>
      <c r="G284"/>
      <c r="H284"/>
      <c r="I284"/>
    </row>
    <row r="285" spans="1:9" ht="18">
      <c r="A285"/>
      <c r="B285"/>
      <c r="C285"/>
      <c r="D285"/>
      <c r="E285"/>
      <c r="F285"/>
      <c r="G285"/>
      <c r="H285"/>
      <c r="I285"/>
    </row>
    <row r="286" spans="1:9" ht="18">
      <c r="A286"/>
      <c r="B286"/>
      <c r="C286"/>
      <c r="D286"/>
      <c r="E286"/>
      <c r="F286"/>
      <c r="G286"/>
      <c r="H286"/>
      <c r="I286"/>
    </row>
    <row r="287" spans="1:9" ht="18">
      <c r="A287"/>
      <c r="B287"/>
      <c r="C287"/>
      <c r="D287"/>
      <c r="E287"/>
      <c r="F287"/>
      <c r="G287"/>
      <c r="H287"/>
      <c r="I287"/>
    </row>
    <row r="288" spans="1:9" ht="18">
      <c r="A288"/>
      <c r="B288"/>
      <c r="C288"/>
      <c r="D288"/>
      <c r="E288"/>
      <c r="F288"/>
      <c r="G288"/>
      <c r="H288"/>
      <c r="I288"/>
    </row>
    <row r="289" spans="1:9" ht="18">
      <c r="A289"/>
      <c r="B289"/>
      <c r="C289"/>
      <c r="D289"/>
      <c r="E289"/>
      <c r="F289"/>
      <c r="G289"/>
      <c r="H289"/>
      <c r="I289"/>
    </row>
    <row r="290" spans="1:9" ht="18">
      <c r="A290"/>
      <c r="B290"/>
      <c r="C290"/>
      <c r="D290"/>
      <c r="E290"/>
      <c r="F290"/>
      <c r="G290"/>
      <c r="H290"/>
      <c r="I290"/>
    </row>
    <row r="291" spans="1:9" ht="18">
      <c r="A291"/>
      <c r="B291"/>
      <c r="C291"/>
      <c r="D291"/>
      <c r="E291"/>
      <c r="F291"/>
      <c r="G291"/>
      <c r="H291"/>
      <c r="I291"/>
    </row>
    <row r="292" spans="1:9" ht="18">
      <c r="A292"/>
      <c r="B292"/>
      <c r="C292"/>
      <c r="D292"/>
      <c r="E292"/>
      <c r="F292"/>
      <c r="G292"/>
      <c r="H292"/>
      <c r="I292"/>
    </row>
    <row r="293" spans="1:9" ht="18">
      <c r="A293"/>
      <c r="B293"/>
      <c r="C293"/>
      <c r="D293"/>
      <c r="E293"/>
      <c r="F293"/>
      <c r="G293"/>
      <c r="H293"/>
      <c r="I293"/>
    </row>
    <row r="294" spans="1:9" ht="18">
      <c r="A294"/>
      <c r="B294"/>
      <c r="C294"/>
      <c r="D294"/>
      <c r="E294"/>
      <c r="F294"/>
      <c r="G294"/>
      <c r="H294"/>
      <c r="I294"/>
    </row>
    <row r="295" spans="1:9" ht="18">
      <c r="A295"/>
      <c r="B295"/>
      <c r="C295"/>
      <c r="D295"/>
      <c r="E295"/>
      <c r="F295"/>
      <c r="G295"/>
      <c r="H295"/>
      <c r="I295"/>
    </row>
    <row r="296" spans="1:9" ht="18">
      <c r="A296"/>
      <c r="B296"/>
      <c r="C296"/>
      <c r="D296"/>
      <c r="E296"/>
      <c r="F296"/>
      <c r="G296"/>
      <c r="H296"/>
      <c r="I296"/>
    </row>
    <row r="297" spans="1:9" ht="18">
      <c r="A297"/>
      <c r="B297"/>
      <c r="C297"/>
      <c r="D297"/>
      <c r="E297"/>
      <c r="F297"/>
      <c r="G297"/>
      <c r="H297"/>
      <c r="I297"/>
    </row>
    <row r="298" spans="1:9" ht="18">
      <c r="A298"/>
      <c r="B298"/>
      <c r="C298"/>
      <c r="D298"/>
      <c r="E298"/>
      <c r="F298"/>
      <c r="G298"/>
      <c r="H298"/>
      <c r="I298"/>
    </row>
    <row r="299" spans="1:9" ht="18">
      <c r="A299"/>
      <c r="B299"/>
      <c r="C299"/>
      <c r="D299"/>
      <c r="E299"/>
      <c r="F299"/>
      <c r="G299"/>
      <c r="H299"/>
      <c r="I299"/>
    </row>
    <row r="300" spans="1:9" ht="18">
      <c r="A300"/>
      <c r="B300"/>
      <c r="C300"/>
      <c r="D300"/>
      <c r="E300"/>
      <c r="F300"/>
      <c r="G300"/>
      <c r="H300"/>
      <c r="I300"/>
    </row>
    <row r="301" spans="1:9" ht="18">
      <c r="A301"/>
      <c r="B301"/>
      <c r="C301"/>
      <c r="D301"/>
      <c r="E301"/>
      <c r="F301"/>
      <c r="G301"/>
      <c r="H301"/>
      <c r="I301"/>
    </row>
    <row r="302" spans="1:9" ht="18">
      <c r="A302"/>
      <c r="B302"/>
      <c r="C302"/>
      <c r="D302"/>
      <c r="E302"/>
      <c r="F302"/>
      <c r="G302"/>
      <c r="H302"/>
      <c r="I302"/>
    </row>
    <row r="303" spans="1:9" ht="18">
      <c r="A303"/>
      <c r="B303"/>
      <c r="C303"/>
      <c r="D303"/>
      <c r="E303"/>
      <c r="F303"/>
      <c r="G303"/>
      <c r="H303"/>
      <c r="I303"/>
    </row>
    <row r="304" spans="1:9" ht="18">
      <c r="A304"/>
      <c r="B304"/>
      <c r="C304"/>
      <c r="D304"/>
      <c r="E304"/>
      <c r="F304"/>
      <c r="G304"/>
      <c r="H304"/>
      <c r="I304"/>
    </row>
    <row r="305" spans="1:9" ht="18">
      <c r="A305"/>
      <c r="B305"/>
      <c r="C305"/>
      <c r="D305"/>
      <c r="E305"/>
      <c r="F305"/>
      <c r="G305"/>
      <c r="H305"/>
      <c r="I305"/>
    </row>
    <row r="306" spans="1:9" ht="18">
      <c r="A306"/>
      <c r="B306"/>
      <c r="C306"/>
      <c r="D306"/>
      <c r="E306"/>
      <c r="F306"/>
      <c r="G306"/>
      <c r="H306"/>
      <c r="I306"/>
    </row>
    <row r="307" spans="1:9" ht="18">
      <c r="A307"/>
      <c r="B307"/>
      <c r="C307"/>
      <c r="D307"/>
      <c r="E307"/>
      <c r="F307"/>
      <c r="G307"/>
      <c r="H307"/>
      <c r="I307"/>
    </row>
    <row r="308" spans="1:9" ht="18">
      <c r="A308"/>
      <c r="B308"/>
      <c r="C308"/>
      <c r="D308"/>
      <c r="E308"/>
      <c r="F308"/>
      <c r="G308"/>
      <c r="H308"/>
      <c r="I308"/>
    </row>
    <row r="309" spans="1:9" ht="18">
      <c r="A309"/>
      <c r="B309"/>
      <c r="C309"/>
      <c r="D309"/>
      <c r="E309"/>
      <c r="F309"/>
      <c r="G309"/>
      <c r="H309"/>
      <c r="I309"/>
    </row>
    <row r="310" spans="1:9" ht="18">
      <c r="A310"/>
      <c r="B310"/>
      <c r="C310"/>
      <c r="D310"/>
      <c r="E310"/>
      <c r="F310"/>
      <c r="G310"/>
      <c r="H310"/>
      <c r="I310"/>
    </row>
    <row r="311" spans="1:9" ht="18">
      <c r="A311"/>
      <c r="B311"/>
      <c r="C311"/>
      <c r="D311"/>
      <c r="E311"/>
      <c r="F311"/>
      <c r="G311"/>
      <c r="H311"/>
      <c r="I311"/>
    </row>
    <row r="312" spans="1:9" ht="18">
      <c r="A312"/>
      <c r="B312"/>
      <c r="C312"/>
      <c r="D312"/>
      <c r="E312"/>
      <c r="F312"/>
      <c r="G312"/>
      <c r="H312"/>
      <c r="I312"/>
    </row>
    <row r="313" spans="1:9" ht="18">
      <c r="A313"/>
      <c r="B313"/>
      <c r="C313"/>
      <c r="D313"/>
      <c r="E313"/>
      <c r="F313"/>
      <c r="G313"/>
      <c r="H313"/>
      <c r="I313"/>
    </row>
    <row r="314" spans="1:9" ht="18">
      <c r="A314"/>
      <c r="B314"/>
      <c r="C314"/>
      <c r="D314"/>
      <c r="E314"/>
      <c r="F314"/>
      <c r="G314"/>
      <c r="H314"/>
      <c r="I314"/>
    </row>
    <row r="315" spans="1:9" ht="18">
      <c r="A315"/>
      <c r="B315"/>
      <c r="C315"/>
      <c r="D315"/>
      <c r="E315"/>
      <c r="F315"/>
      <c r="G315"/>
      <c r="H315"/>
      <c r="I315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B5" sqref="B5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11</v>
      </c>
      <c r="B1" s="4"/>
      <c r="C1" s="4" t="s">
        <v>30</v>
      </c>
      <c r="D1" s="4" t="s">
        <v>25</v>
      </c>
      <c r="E1" s="32" t="s">
        <v>29</v>
      </c>
      <c r="F1" s="90">
        <f ca="1">SUM($F$2:$F$101)</f>
        <v>0</v>
      </c>
      <c r="H1" s="27" t="s">
        <v>28</v>
      </c>
      <c r="I1" s="27" t="s">
        <v>26</v>
      </c>
      <c r="J1" s="27" t="s">
        <v>27</v>
      </c>
    </row>
    <row r="2" spans="1:10">
      <c r="A2" s="21">
        <f>ROW()-1</f>
        <v>1</v>
      </c>
      <c r="B2" s="29">
        <f ca="1">IF(AND(I2,NOT(J2),NOT(H2)),1,0)</f>
        <v>0</v>
      </c>
      <c r="C2" s="33" t="s">
        <v>153</v>
      </c>
      <c r="D2" s="22" t="s">
        <v>153</v>
      </c>
      <c r="E2" s="22" t="s">
        <v>188</v>
      </c>
      <c r="F2" s="87">
        <f ca="1">受注!ERRORS</f>
        <v>0</v>
      </c>
      <c r="G2" s="51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155</v>
      </c>
      <c r="D3" s="24" t="s">
        <v>155</v>
      </c>
      <c r="E3" s="24" t="s">
        <v>189</v>
      </c>
      <c r="F3" s="88">
        <f ca="1">受注明細!ERRORS</f>
        <v>0</v>
      </c>
      <c r="G3" s="51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158</v>
      </c>
      <c r="D4" s="24" t="s">
        <v>158</v>
      </c>
      <c r="E4" s="24" t="s">
        <v>184</v>
      </c>
      <c r="F4" s="88">
        <f ca="1">商品!ERRORS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 t="s">
        <v>186</v>
      </c>
      <c r="D5" s="24" t="s">
        <v>186</v>
      </c>
      <c r="E5" s="24" t="s">
        <v>190</v>
      </c>
      <c r="F5" s="88">
        <f ca="1">担当者!ERRORS</f>
        <v>0</v>
      </c>
      <c r="H5" s="28" t="b">
        <f t="shared" si="2"/>
        <v>1</v>
      </c>
      <c r="I5" s="28" t="b">
        <f t="shared" si="3"/>
        <v>1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33"/>
      <c r="D6" s="24"/>
      <c r="E6" s="24"/>
      <c r="F6" s="8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33"/>
      <c r="D7" s="24"/>
      <c r="E7" s="24"/>
      <c r="F7" s="8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33"/>
      <c r="D8" s="24"/>
      <c r="E8" s="24"/>
      <c r="F8" s="8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33"/>
      <c r="D9" s="24"/>
      <c r="E9" s="24"/>
      <c r="F9" s="8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33"/>
      <c r="D10" s="24"/>
      <c r="E10" s="24"/>
      <c r="F10" s="8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33"/>
      <c r="D11" s="24"/>
      <c r="E11" s="24"/>
      <c r="F11" s="8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33"/>
      <c r="D12" s="24"/>
      <c r="E12" s="24"/>
      <c r="F12" s="8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33"/>
      <c r="D13" s="24"/>
      <c r="E13" s="24"/>
      <c r="F13" s="8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33"/>
      <c r="D14" s="24"/>
      <c r="E14" s="24"/>
      <c r="F14" s="8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33"/>
      <c r="D15" s="24"/>
      <c r="E15" s="24"/>
      <c r="F15" s="8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33"/>
      <c r="D16" s="24"/>
      <c r="E16" s="24"/>
      <c r="F16" s="8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33"/>
      <c r="D17" s="24"/>
      <c r="E17" s="24"/>
      <c r="F17" s="8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8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33"/>
      <c r="D19" s="24"/>
      <c r="E19" s="24"/>
      <c r="F19" s="8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33"/>
      <c r="D20" s="24"/>
      <c r="E20" s="24"/>
      <c r="F20" s="8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33"/>
      <c r="D21" s="24"/>
      <c r="E21" s="24"/>
      <c r="F21" s="8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33"/>
      <c r="D22" s="24"/>
      <c r="E22" s="24"/>
      <c r="F22" s="8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33"/>
      <c r="D23" s="24"/>
      <c r="E23" s="24"/>
      <c r="F23" s="8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33"/>
      <c r="D24" s="24"/>
      <c r="E24" s="24"/>
      <c r="F24" s="8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33"/>
      <c r="D25" s="24"/>
      <c r="E25" s="24"/>
      <c r="F25" s="8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33"/>
      <c r="D26" s="24"/>
      <c r="E26" s="24"/>
      <c r="F26" s="8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33"/>
      <c r="D27" s="24"/>
      <c r="E27" s="24"/>
      <c r="F27" s="8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33"/>
      <c r="D28" s="24"/>
      <c r="E28" s="24"/>
      <c r="F28" s="8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33"/>
      <c r="D29" s="24"/>
      <c r="E29" s="24"/>
      <c r="F29" s="8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33"/>
      <c r="D30" s="24"/>
      <c r="E30" s="24"/>
      <c r="F30" s="8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33"/>
      <c r="D31" s="24"/>
      <c r="E31" s="24"/>
      <c r="F31" s="8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33"/>
      <c r="D32" s="24"/>
      <c r="E32" s="24"/>
      <c r="F32" s="8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33"/>
      <c r="D33" s="24"/>
      <c r="E33" s="24"/>
      <c r="F33" s="8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33"/>
      <c r="D34" s="24"/>
      <c r="E34" s="24"/>
      <c r="F34" s="8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33"/>
      <c r="D35" s="24"/>
      <c r="E35" s="24"/>
      <c r="F35" s="8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33"/>
      <c r="D36" s="24"/>
      <c r="E36" s="24"/>
      <c r="F36" s="8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33"/>
      <c r="D37" s="24"/>
      <c r="E37" s="24"/>
      <c r="F37" s="8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33"/>
      <c r="D38" s="24"/>
      <c r="E38" s="24"/>
      <c r="F38" s="8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33"/>
      <c r="D39" s="24"/>
      <c r="E39" s="24"/>
      <c r="F39" s="8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33"/>
      <c r="D40" s="24"/>
      <c r="E40" s="24"/>
      <c r="F40" s="8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33"/>
      <c r="D41" s="24"/>
      <c r="E41" s="24"/>
      <c r="F41" s="8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33"/>
      <c r="D42" s="24"/>
      <c r="E42" s="24"/>
      <c r="F42" s="8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33"/>
      <c r="D43" s="24"/>
      <c r="E43" s="24"/>
      <c r="F43" s="8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8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8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8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8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8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8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8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8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8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8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8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8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8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8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8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8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8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8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8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8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8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8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8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8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8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8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8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8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8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8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8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8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8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8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8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8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8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8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8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8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8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8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8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8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8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8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8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8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8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8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8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8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8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8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8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8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8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8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200" priority="4" operator="equal">
      <formula>1</formula>
    </cfRule>
  </conditionalFormatting>
  <conditionalFormatting sqref="D2:E101">
    <cfRule type="expression" dxfId="199" priority="3">
      <formula>$J2</formula>
    </cfRule>
  </conditionalFormatting>
  <conditionalFormatting sqref="F2:F101">
    <cfRule type="cellIs" dxfId="198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受注'!A1" display="受注" xr:uid="{673E29DE-F5C0-44D1-9C37-9B6AC630A5E0}"/>
    <hyperlink ref="C3" location="'受注明細'!A1" display="受注明細" xr:uid="{A61186B8-E05C-424A-A9F5-2E0AD40E3A78}"/>
    <hyperlink ref="C4" location="'商品'!A1" display="商品" xr:uid="{26ED73F9-381F-48FF-A938-F5F6E1056066}"/>
    <hyperlink ref="C5" location="'担当者'!A1" display="担当者" xr:uid="{CD81C96B-6519-48FF-BAF6-74CE5733B83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受注</v>
      </c>
      <c r="C1" s="20" t="str">
        <f>SCHEMA_EN</f>
        <v>orders</v>
      </c>
      <c r="D1" s="52">
        <f ca="1">OR(AG:AG)+0</f>
        <v>1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1"/>
      <c r="E2" s="85" t="s">
        <v>54</v>
      </c>
      <c r="F2" s="86" t="s">
        <v>55</v>
      </c>
      <c r="G2" s="40"/>
      <c r="AF2" s="7" t="s">
        <v>16</v>
      </c>
      <c r="AG2" s="7" t="b">
        <f ca="1">OR(ISERROR(TABLE_JP),ISERROR(TABLE_EN))</f>
        <v>1</v>
      </c>
    </row>
    <row r="3" spans="1:43">
      <c r="B3" s="65" t="str">
        <f>AQ3</f>
        <v>フィールドの設定が１つもありません。</v>
      </c>
      <c r="AE3" s="7" t="s">
        <v>7</v>
      </c>
      <c r="AF3" s="7" t="s">
        <v>22</v>
      </c>
      <c r="AG3" s="7" t="b">
        <f>AI6="N/A"</f>
        <v>1</v>
      </c>
      <c r="AH3" s="7" t="s">
        <v>100</v>
      </c>
      <c r="AI3" s="7" t="s">
        <v>58</v>
      </c>
      <c r="AQ3" s="114" t="str">
        <f>IF(AG3,AH3,AQ4)</f>
        <v>フィールドの設定が１つもありません。</v>
      </c>
    </row>
    <row r="4" spans="1:43" ht="20">
      <c r="A4" s="10" t="s">
        <v>35</v>
      </c>
      <c r="E4" s="112" t="s">
        <v>83</v>
      </c>
      <c r="K4" s="10" t="s">
        <v>36</v>
      </c>
      <c r="T4" s="65" t="s">
        <v>46</v>
      </c>
      <c r="AF4" s="7" t="s">
        <v>18</v>
      </c>
      <c r="AG4" s="7" t="b">
        <f ca="1">OR(T6:T105)</f>
        <v>0</v>
      </c>
      <c r="AH4" s="7" t="s">
        <v>97</v>
      </c>
      <c r="AI4" s="96" t="s">
        <v>64</v>
      </c>
      <c r="AJ4" s="96" t="s">
        <v>65</v>
      </c>
      <c r="AK4" s="96" t="s">
        <v>7</v>
      </c>
      <c r="AL4" s="96" t="s">
        <v>59</v>
      </c>
      <c r="AM4" s="96" t="s">
        <v>60</v>
      </c>
      <c r="AN4" s="96" t="s">
        <v>61</v>
      </c>
      <c r="AO4" s="96" t="s">
        <v>62</v>
      </c>
      <c r="AP4" s="96" t="s">
        <v>63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>$AQ$7</f>
        <v>PKの指定がありません。</v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98</v>
      </c>
      <c r="AI5" s="56">
        <f>COUNTA(AI6:AI105)</f>
        <v>1</v>
      </c>
      <c r="AJ5" s="66">
        <f>COUNTA(AJ6:AJ105)</f>
        <v>1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47"/>
      <c r="F6" s="116"/>
      <c r="G6" s="37" t="str">
        <f ca="1">IFERROR(VLOOKUP(B6,項目!DATA_AREA,4,FALSE),"")</f>
        <v/>
      </c>
      <c r="H6" s="11" t="str">
        <f ca="1">IFERROR(VLOOKUP(B6,項目!DATA_AREA,5,FALSE),"")</f>
        <v/>
      </c>
      <c r="K6" s="50" t="s">
        <v>57</v>
      </c>
      <c r="L6" s="112" t="s">
        <v>81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47</v>
      </c>
      <c r="AF6" s="7" t="s">
        <v>21</v>
      </c>
      <c r="AG6" s="119" t="b">
        <v>0</v>
      </c>
      <c r="AH6" s="7" t="s">
        <v>99</v>
      </c>
      <c r="AI6" s="56" t="s">
        <v>24</v>
      </c>
      <c r="AJ6" s="66" t="s">
        <v>24</v>
      </c>
      <c r="AK6" s="95" t="s">
        <v>58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48"/>
      <c r="F7" s="117"/>
      <c r="G7" s="38" t="str">
        <f ca="1">IFERROR(VLOOKUP(B7,項目!DATA_AREA,4,FALSE),"")</f>
        <v/>
      </c>
      <c r="H7" s="12" t="str">
        <f ca="1">IFERROR(VLOOKUP(B7,項目!DATA_AREA,5,FALSE),"")</f>
        <v/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si="1"/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1</v>
      </c>
      <c r="AH7" s="7" t="s">
        <v>90</v>
      </c>
      <c r="AI7" s="56"/>
      <c r="AJ7" s="66"/>
      <c r="AK7" s="95"/>
      <c r="AL7" s="83"/>
      <c r="AM7" s="83"/>
      <c r="AN7" s="83"/>
      <c r="AO7" s="83"/>
      <c r="AP7" s="83"/>
      <c r="AQ7" s="114" t="str">
        <f>IF(AG7,AH7,AQ8)</f>
        <v>PKの指定がありません。</v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/>
      <c r="M8" s="69"/>
      <c r="N8" s="69"/>
      <c r="O8" s="69"/>
      <c r="P8" s="70"/>
      <c r="R8" s="83" t="str">
        <f>_xlfn.CONCAT(L8:P8)</f>
        <v/>
      </c>
      <c r="T8" s="19" t="b">
        <f t="shared" ca="1" si="0"/>
        <v>0</v>
      </c>
      <c r="U8" s="19" t="b">
        <f t="shared" si="1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96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/>
      <c r="AF9" s="7" t="s">
        <v>20</v>
      </c>
      <c r="AG9" s="7" t="b">
        <f>OR(Y8:AC8)</f>
        <v>0</v>
      </c>
      <c r="AH9" s="7" t="s">
        <v>91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1"/>
        <v>0</v>
      </c>
      <c r="V10" s="19"/>
      <c r="AE10" s="7" t="s">
        <v>38</v>
      </c>
      <c r="AF10" s="7" t="s">
        <v>50</v>
      </c>
      <c r="AG10" s="7" t="b">
        <f ca="1">OR($Y$13:$AC$22)</f>
        <v>0</v>
      </c>
      <c r="AH10" s="7" t="s">
        <v>95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1"/>
        <v>0</v>
      </c>
      <c r="V11" s="19"/>
      <c r="AF11" s="7" t="s">
        <v>49</v>
      </c>
      <c r="AG11" s="7" t="b">
        <f>OR($AD$13:$AD$22)</f>
        <v>0</v>
      </c>
      <c r="AH11" s="7" t="s">
        <v>89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1"/>
        <v>0</v>
      </c>
      <c r="V12" s="19"/>
      <c r="X12" s="65" t="s">
        <v>48</v>
      </c>
      <c r="AD12" s="7" t="s">
        <v>49</v>
      </c>
      <c r="AE12" s="7" t="s">
        <v>72</v>
      </c>
      <c r="AF12" s="7" t="s">
        <v>71</v>
      </c>
      <c r="AG12" s="7" t="b">
        <f ca="1">OR($Y$26:$AC$26,$Y$31:$AC$31,$Y$36:$AC$36,$Y$41:$AC$41,$Y$46:$AC$46)</f>
        <v>0</v>
      </c>
      <c r="AH12" s="7" t="s">
        <v>86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/>
      <c r="X13" s="7" t="s">
        <v>51</v>
      </c>
      <c r="Y13" s="19" t="b">
        <f t="shared" ref="Y13:Y22" ca="1" si="2">OR(AND(L13&lt;&gt;"",ISNA(MATCH(L13,FIELDリスト,0))),COUNTIF($L13:$P13,L13)&gt;1)</f>
        <v>0</v>
      </c>
      <c r="Z13" s="19" t="b">
        <f t="shared" ref="Z13:Z22" ca="1" si="3">OR(AND(M13&lt;&gt;"",ISNA(MATCH(M13,FIELDリスト,0))),COUNTIF($L13:$P13,M13)&gt;1)</f>
        <v>0</v>
      </c>
      <c r="AA13" s="19" t="b">
        <f t="shared" ref="AA13:AA22" ca="1" si="4">OR(AND(N13&lt;&gt;"",ISNA(MATCH(N13,FIELDリスト,0))),COUNTIF($L13:$P13,N13)&gt;1)</f>
        <v>0</v>
      </c>
      <c r="AB13" s="19" t="b">
        <f t="shared" ref="AB13:AB22" ca="1" si="5">OR(AND(O13&lt;&gt;"",ISNA(MATCH(O13,FIELDリスト,0))),COUNTIF($L13:$P13,O13)&gt;1)</f>
        <v>0</v>
      </c>
      <c r="AC13" s="19" t="b">
        <f t="shared" ref="AC13:AC22" ca="1" si="6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50</v>
      </c>
      <c r="AG13" s="7" t="b">
        <f ca="1">OR($Y$27:$AC$28,$Y$32:$AC$33,$Y$37:$AC$38,$Y$42:$AC$43,$Y$47:$AC$48)</f>
        <v>0</v>
      </c>
      <c r="AH13" s="7" t="s">
        <v>92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7">_xlfn.CONCAT(L14:P14)</f>
        <v/>
      </c>
      <c r="T14" s="19" t="b">
        <f t="shared" ca="1" si="0"/>
        <v>0</v>
      </c>
      <c r="U14" s="19" t="b">
        <f t="shared" si="1"/>
        <v>0</v>
      </c>
      <c r="V14" s="19"/>
      <c r="X14" s="7" t="s">
        <v>52</v>
      </c>
      <c r="Y14" s="19" t="b">
        <f t="shared" ca="1" si="2"/>
        <v>0</v>
      </c>
      <c r="Z14" s="19" t="b">
        <f t="shared" ca="1" si="3"/>
        <v>0</v>
      </c>
      <c r="AA14" s="19" t="b">
        <f t="shared" ca="1" si="4"/>
        <v>0</v>
      </c>
      <c r="AB14" s="19" t="b">
        <f t="shared" ca="1" si="5"/>
        <v>0</v>
      </c>
      <c r="AC14" s="19" t="b">
        <f t="shared" ca="1" si="6"/>
        <v>0</v>
      </c>
      <c r="AD14" s="19" t="b">
        <f t="shared" ref="AD14:AD22" si="8">AND(R14&lt;&gt;"",COUNTIF(R$13:R$22,R14)&gt;1)</f>
        <v>0</v>
      </c>
      <c r="AF14" s="7" t="s">
        <v>73</v>
      </c>
      <c r="AG14" s="7" t="b">
        <f>OR($AD$26,$AD$31,$AD$36,$AD$41,$AD$46)</f>
        <v>0</v>
      </c>
      <c r="AH14" s="7" t="s">
        <v>94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7"/>
        <v/>
      </c>
      <c r="T15" s="19" t="b">
        <f t="shared" ca="1" si="0"/>
        <v>0</v>
      </c>
      <c r="U15" s="19" t="b">
        <f t="shared" si="1"/>
        <v>0</v>
      </c>
      <c r="V15" s="19"/>
      <c r="Y15" s="19" t="b">
        <f t="shared" ca="1" si="2"/>
        <v>0</v>
      </c>
      <c r="Z15" s="19" t="b">
        <f t="shared" ca="1" si="3"/>
        <v>0</v>
      </c>
      <c r="AA15" s="19" t="b">
        <f t="shared" ca="1" si="4"/>
        <v>0</v>
      </c>
      <c r="AB15" s="19" t="b">
        <f t="shared" ca="1" si="5"/>
        <v>0</v>
      </c>
      <c r="AC15" s="19" t="b">
        <f t="shared" ca="1" si="6"/>
        <v>0</v>
      </c>
      <c r="AD15" s="19" t="b">
        <f t="shared" si="8"/>
        <v>0</v>
      </c>
      <c r="AF15" s="7" t="s">
        <v>49</v>
      </c>
      <c r="AG15" s="7" t="b">
        <f>OR($AD$27,$AD$32,$AD$37,$AD$42,$AD$47)</f>
        <v>0</v>
      </c>
      <c r="AH15" s="7" t="s">
        <v>87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7"/>
        <v/>
      </c>
      <c r="T16" s="19" t="b">
        <f t="shared" ca="1" si="0"/>
        <v>0</v>
      </c>
      <c r="U16" s="19" t="b">
        <f t="shared" si="1"/>
        <v>0</v>
      </c>
      <c r="V16" s="19"/>
      <c r="Y16" s="19" t="b">
        <f t="shared" ca="1" si="2"/>
        <v>0</v>
      </c>
      <c r="Z16" s="19" t="b">
        <f t="shared" ca="1" si="3"/>
        <v>0</v>
      </c>
      <c r="AA16" s="19" t="b">
        <f t="shared" ca="1" si="4"/>
        <v>0</v>
      </c>
      <c r="AB16" s="19" t="b">
        <f t="shared" ca="1" si="5"/>
        <v>0</v>
      </c>
      <c r="AC16" s="19" t="b">
        <f t="shared" ca="1" si="6"/>
        <v>0</v>
      </c>
      <c r="AD16" s="19" t="b">
        <f t="shared" si="8"/>
        <v>0</v>
      </c>
      <c r="AF16" s="7" t="s">
        <v>84</v>
      </c>
      <c r="AG16" s="7" t="b">
        <f ca="1">OR($AD$28,$AD$33,$AD$38,$AD$43,$AD$48)</f>
        <v>0</v>
      </c>
      <c r="AH16" s="7" t="s">
        <v>88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7"/>
        <v/>
      </c>
      <c r="T17" s="19" t="b">
        <f t="shared" ca="1" si="0"/>
        <v>0</v>
      </c>
      <c r="U17" s="19" t="b">
        <f t="shared" si="1"/>
        <v>0</v>
      </c>
      <c r="V17" s="19"/>
      <c r="Y17" s="19" t="b">
        <f t="shared" ca="1" si="2"/>
        <v>0</v>
      </c>
      <c r="Z17" s="19" t="b">
        <f t="shared" ca="1" si="3"/>
        <v>0</v>
      </c>
      <c r="AA17" s="19" t="b">
        <f t="shared" ca="1" si="4"/>
        <v>0</v>
      </c>
      <c r="AB17" s="19" t="b">
        <f t="shared" ca="1" si="5"/>
        <v>0</v>
      </c>
      <c r="AC17" s="19" t="b">
        <f t="shared" ca="1" si="6"/>
        <v>0</v>
      </c>
      <c r="AD17" s="19" t="b">
        <f t="shared" si="8"/>
        <v>0</v>
      </c>
      <c r="AE17" s="7" t="s">
        <v>12</v>
      </c>
      <c r="AF17" s="7" t="s">
        <v>50</v>
      </c>
      <c r="AG17" s="7" t="b">
        <f ca="1">OR($Y$55:$AC$64)</f>
        <v>0</v>
      </c>
      <c r="AH17" s="7" t="s">
        <v>93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7"/>
        <v/>
      </c>
      <c r="T18" s="19" t="b">
        <f t="shared" ca="1" si="0"/>
        <v>0</v>
      </c>
      <c r="U18" s="19" t="b">
        <f t="shared" si="1"/>
        <v>0</v>
      </c>
      <c r="V18" s="19"/>
      <c r="Y18" s="19" t="b">
        <f t="shared" ca="1" si="2"/>
        <v>0</v>
      </c>
      <c r="Z18" s="19" t="b">
        <f t="shared" ca="1" si="3"/>
        <v>0</v>
      </c>
      <c r="AA18" s="19" t="b">
        <f t="shared" ca="1" si="4"/>
        <v>0</v>
      </c>
      <c r="AB18" s="19" t="b">
        <f t="shared" ca="1" si="5"/>
        <v>0</v>
      </c>
      <c r="AC18" s="19" t="b">
        <f t="shared" ca="1" si="6"/>
        <v>0</v>
      </c>
      <c r="AD18" s="19" t="b">
        <f t="shared" si="8"/>
        <v>0</v>
      </c>
      <c r="AF18" s="7" t="s">
        <v>49</v>
      </c>
      <c r="AG18" s="7" t="b">
        <f>OR($AD$55:$AD$64)</f>
        <v>0</v>
      </c>
      <c r="AH18" s="7" t="s">
        <v>85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7"/>
        <v/>
      </c>
      <c r="T19" s="19" t="b">
        <f t="shared" ca="1" si="0"/>
        <v>0</v>
      </c>
      <c r="U19" s="19" t="b">
        <f t="shared" si="1"/>
        <v>0</v>
      </c>
      <c r="V19" s="19"/>
      <c r="Y19" s="19" t="b">
        <f t="shared" ca="1" si="2"/>
        <v>0</v>
      </c>
      <c r="Z19" s="19" t="b">
        <f t="shared" ca="1" si="3"/>
        <v>0</v>
      </c>
      <c r="AA19" s="19" t="b">
        <f t="shared" ca="1" si="4"/>
        <v>0</v>
      </c>
      <c r="AB19" s="19" t="b">
        <f t="shared" ca="1" si="5"/>
        <v>0</v>
      </c>
      <c r="AC19" s="19" t="b">
        <f t="shared" ca="1" si="6"/>
        <v>0</v>
      </c>
      <c r="AD19" s="19" t="b">
        <f t="shared" si="8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7"/>
        <v/>
      </c>
      <c r="T20" s="19" t="b">
        <f t="shared" ca="1" si="0"/>
        <v>0</v>
      </c>
      <c r="U20" s="19" t="b">
        <f t="shared" si="1"/>
        <v>0</v>
      </c>
      <c r="V20" s="19"/>
      <c r="Y20" s="19" t="b">
        <f t="shared" ca="1" si="2"/>
        <v>0</v>
      </c>
      <c r="Z20" s="19" t="b">
        <f t="shared" ca="1" si="3"/>
        <v>0</v>
      </c>
      <c r="AA20" s="19" t="b">
        <f t="shared" ca="1" si="4"/>
        <v>0</v>
      </c>
      <c r="AB20" s="19" t="b">
        <f t="shared" ca="1" si="5"/>
        <v>0</v>
      </c>
      <c r="AC20" s="19" t="b">
        <f t="shared" ca="1" si="6"/>
        <v>0</v>
      </c>
      <c r="AD20" s="19" t="b">
        <f t="shared" si="8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7"/>
        <v/>
      </c>
      <c r="T21" s="19" t="b">
        <f t="shared" ca="1" si="0"/>
        <v>0</v>
      </c>
      <c r="U21" s="19" t="b">
        <f t="shared" si="1"/>
        <v>0</v>
      </c>
      <c r="V21" s="19"/>
      <c r="Y21" s="19" t="b">
        <f t="shared" ca="1" si="2"/>
        <v>0</v>
      </c>
      <c r="Z21" s="19" t="b">
        <f t="shared" ca="1" si="3"/>
        <v>0</v>
      </c>
      <c r="AA21" s="19" t="b">
        <f t="shared" ca="1" si="4"/>
        <v>0</v>
      </c>
      <c r="AB21" s="19" t="b">
        <f t="shared" ca="1" si="5"/>
        <v>0</v>
      </c>
      <c r="AC21" s="19" t="b">
        <f t="shared" ca="1" si="6"/>
        <v>0</v>
      </c>
      <c r="AD21" s="19" t="b">
        <f t="shared" si="8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7"/>
        <v/>
      </c>
      <c r="T22" s="19" t="b">
        <f t="shared" ca="1" si="0"/>
        <v>0</v>
      </c>
      <c r="U22" s="19" t="b">
        <f t="shared" si="1"/>
        <v>0</v>
      </c>
      <c r="V22" s="19"/>
      <c r="Y22" s="19" t="b">
        <f t="shared" ca="1" si="2"/>
        <v>0</v>
      </c>
      <c r="Z22" s="19" t="b">
        <f t="shared" ca="1" si="3"/>
        <v>0</v>
      </c>
      <c r="AA22" s="19" t="b">
        <f t="shared" ca="1" si="4"/>
        <v>0</v>
      </c>
      <c r="AB22" s="19" t="b">
        <f t="shared" ca="1" si="5"/>
        <v>0</v>
      </c>
      <c r="AC22" s="19" t="b">
        <f t="shared" ca="1" si="6"/>
        <v>0</v>
      </c>
      <c r="AD22" s="19" t="b">
        <f t="shared" si="8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1"/>
        <v>0</v>
      </c>
      <c r="V24" s="19"/>
      <c r="X24" s="65" t="s">
        <v>70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56</v>
      </c>
      <c r="L25" s="112" t="s">
        <v>82</v>
      </c>
      <c r="T25" s="19" t="b">
        <f t="shared" ca="1" si="0"/>
        <v>0</v>
      </c>
      <c r="U25" s="19" t="b">
        <f t="shared" si="1"/>
        <v>0</v>
      </c>
      <c r="V25" s="19"/>
      <c r="X25" s="7" t="s">
        <v>71</v>
      </c>
      <c r="AD25" s="7" t="s">
        <v>73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75</v>
      </c>
      <c r="L26" s="100"/>
      <c r="M26" s="104" t="s">
        <v>76</v>
      </c>
      <c r="N26" s="100"/>
      <c r="O26" s="104" t="s">
        <v>77</v>
      </c>
      <c r="P26" s="100"/>
      <c r="T26" s="19" t="b">
        <f t="shared" ca="1" si="0"/>
        <v>0</v>
      </c>
      <c r="U26" s="19" t="b">
        <f t="shared" si="1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73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/>
      <c r="X27" s="7" t="s">
        <v>51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49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78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1"/>
        <v>0</v>
      </c>
      <c r="V28" s="19"/>
      <c r="X28" s="7" t="s">
        <v>52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84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79</v>
      </c>
      <c r="L29" s="93"/>
      <c r="M29" s="81"/>
      <c r="N29" s="81"/>
      <c r="O29" s="81"/>
      <c r="P29" s="82"/>
      <c r="R29" s="83" t="str">
        <f t="shared" ref="R29" si="9">_xlfn.CONCAT(L29:P29)</f>
        <v/>
      </c>
      <c r="T29" s="19" t="b">
        <f t="shared" ca="1" si="0"/>
        <v>0</v>
      </c>
      <c r="U29" s="19" t="b">
        <f t="shared" si="1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75</v>
      </c>
      <c r="L31" s="100"/>
      <c r="M31" s="104" t="s">
        <v>76</v>
      </c>
      <c r="N31" s="100"/>
      <c r="O31" s="104" t="s">
        <v>77</v>
      </c>
      <c r="P31" s="100"/>
      <c r="T31" s="19" t="b">
        <f t="shared" ca="1" si="0"/>
        <v>0</v>
      </c>
      <c r="U31" s="19" t="b">
        <f t="shared" si="1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78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1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79</v>
      </c>
      <c r="L34" s="93"/>
      <c r="M34" s="81"/>
      <c r="N34" s="81"/>
      <c r="O34" s="81"/>
      <c r="P34" s="82"/>
      <c r="R34" s="83" t="str">
        <f t="shared" ref="R34" si="10">_xlfn.CONCAT(L34:P34)</f>
        <v/>
      </c>
      <c r="T34" s="19" t="b">
        <f t="shared" ca="1" si="0"/>
        <v>0</v>
      </c>
      <c r="U34" s="19" t="b">
        <f t="shared" si="1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75</v>
      </c>
      <c r="L36" s="100"/>
      <c r="M36" s="104" t="s">
        <v>76</v>
      </c>
      <c r="N36" s="100"/>
      <c r="O36" s="104" t="s">
        <v>77</v>
      </c>
      <c r="P36" s="100"/>
      <c r="T36" s="19" t="b">
        <f t="shared" ca="1" si="0"/>
        <v>0</v>
      </c>
      <c r="U36" s="19" t="b">
        <f t="shared" si="1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78</v>
      </c>
      <c r="L38" s="92"/>
      <c r="M38" s="73"/>
      <c r="N38" s="73"/>
      <c r="O38" s="73"/>
      <c r="P38" s="74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79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11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75</v>
      </c>
      <c r="L41" s="100"/>
      <c r="M41" s="104" t="s">
        <v>76</v>
      </c>
      <c r="N41" s="100"/>
      <c r="O41" s="104" t="s">
        <v>77</v>
      </c>
      <c r="P41" s="100"/>
      <c r="T41" s="19" t="b">
        <f t="shared" ca="1" si="11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11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78</v>
      </c>
      <c r="L43" s="92"/>
      <c r="M43" s="73"/>
      <c r="N43" s="73"/>
      <c r="O43" s="73"/>
      <c r="P43" s="74"/>
      <c r="T43" s="19" t="b">
        <f t="shared" ca="1" si="11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79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11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75</v>
      </c>
      <c r="L46" s="100"/>
      <c r="M46" s="104" t="s">
        <v>76</v>
      </c>
      <c r="N46" s="100"/>
      <c r="O46" s="104" t="s">
        <v>77</v>
      </c>
      <c r="P46" s="100"/>
      <c r="T46" s="19" t="b">
        <f t="shared" ca="1" si="11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11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78</v>
      </c>
      <c r="L48" s="92"/>
      <c r="M48" s="73"/>
      <c r="N48" s="73"/>
      <c r="O48" s="73"/>
      <c r="P48" s="74"/>
      <c r="T48" s="19" t="b">
        <f t="shared" ca="1" si="11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79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11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11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11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80</v>
      </c>
      <c r="T53" s="19" t="b">
        <f t="shared" ca="1" si="11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11"/>
        <v>0</v>
      </c>
      <c r="U54" s="19" t="b">
        <f t="shared" si="12"/>
        <v>0</v>
      </c>
      <c r="V54" s="19"/>
      <c r="X54" s="65" t="s">
        <v>74</v>
      </c>
      <c r="AD54" s="7" t="s">
        <v>49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11"/>
        <v>0</v>
      </c>
      <c r="U55" s="19" t="b">
        <f t="shared" si="12"/>
        <v>0</v>
      </c>
      <c r="V55" s="19"/>
      <c r="X55" s="7" t="s">
        <v>51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11"/>
        <v>0</v>
      </c>
      <c r="U56" s="19" t="b">
        <f t="shared" si="12"/>
        <v>0</v>
      </c>
      <c r="V56" s="19"/>
      <c r="X56" s="7" t="s">
        <v>52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11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11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11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11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11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11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11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11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197" priority="147">
      <formula>ISERROR(B2)</formula>
    </cfRule>
  </conditionalFormatting>
  <conditionalFormatting sqref="B6:B105">
    <cfRule type="expression" dxfId="196" priority="144">
      <formula>COUNTIF(FIELD_NAME,B6)&gt;1</formula>
    </cfRule>
    <cfRule type="expression" dxfId="195" priority="145">
      <formula>AND($B6&lt;&gt;"",ISNA(MATCH($B6,項目リスト,0)))</formula>
    </cfRule>
  </conditionalFormatting>
  <conditionalFormatting sqref="B6">
    <cfRule type="expression" dxfId="194" priority="139">
      <formula>$AI$6="N/A"</formula>
    </cfRule>
  </conditionalFormatting>
  <conditionalFormatting sqref="D1">
    <cfRule type="cellIs" dxfId="193" priority="128" operator="greaterThan">
      <formula>0</formula>
    </cfRule>
  </conditionalFormatting>
  <conditionalFormatting sqref="L8:P8">
    <cfRule type="expression" dxfId="192" priority="159">
      <formula>Y8</formula>
    </cfRule>
    <cfRule type="expression" dxfId="191" priority="160">
      <formula>Y7</formula>
    </cfRule>
  </conditionalFormatting>
  <conditionalFormatting sqref="L13:P22">
    <cfRule type="expression" dxfId="190" priority="91">
      <formula>Y13</formula>
    </cfRule>
    <cfRule type="expression" dxfId="189" priority="92">
      <formula>$AD13</formula>
    </cfRule>
  </conditionalFormatting>
  <conditionalFormatting sqref="L8">
    <cfRule type="expression" dxfId="188" priority="158">
      <formula>$AG$7</formula>
    </cfRule>
  </conditionalFormatting>
  <conditionalFormatting sqref="L55:P64">
    <cfRule type="expression" dxfId="187" priority="24">
      <formula>Y55</formula>
    </cfRule>
    <cfRule type="expression" dxfId="186" priority="25">
      <formula>$AD55</formula>
    </cfRule>
  </conditionalFormatting>
  <conditionalFormatting sqref="L43:P44">
    <cfRule type="expression" dxfId="185" priority="15">
      <formula>Y42</formula>
    </cfRule>
  </conditionalFormatting>
  <conditionalFormatting sqref="L43:P43">
    <cfRule type="expression" dxfId="184" priority="13">
      <formula>$AD42</formula>
    </cfRule>
    <cfRule type="expression" dxfId="183" priority="162">
      <formula>Y41</formula>
    </cfRule>
  </conditionalFormatting>
  <conditionalFormatting sqref="L43">
    <cfRule type="expression" dxfId="182" priority="14">
      <formula>$AD41</formula>
    </cfRule>
  </conditionalFormatting>
  <conditionalFormatting sqref="L28:P29 L33:P34 L38:P39 L48:P49 L43:P44">
    <cfRule type="expression" dxfId="181" priority="165">
      <formula>Y27</formula>
    </cfRule>
  </conditionalFormatting>
  <conditionalFormatting sqref="L29:P29 L34:P34 L39:P39 L49:P49">
    <cfRule type="expression" dxfId="180" priority="168">
      <formula>$AD27</formula>
    </cfRule>
    <cfRule type="expression" dxfId="179" priority="169">
      <formula>Y26</formula>
    </cfRule>
  </conditionalFormatting>
  <conditionalFormatting sqref="L28 L33 L38 L48 L43">
    <cfRule type="expression" dxfId="178" priority="170">
      <formula>$AD26</formula>
    </cfRule>
  </conditionalFormatting>
  <conditionalFormatting sqref="L44:P44">
    <cfRule type="expression" dxfId="177" priority="173">
      <formula>$AD42</formula>
    </cfRule>
    <cfRule type="expression" dxfId="176" priority="174">
      <formula>Y41</formula>
    </cfRule>
  </conditionalFormatting>
  <conditionalFormatting sqref="L28:P28 L33:P33 L38:P38 L43:P43 L48:P48">
    <cfRule type="expression" dxfId="175" priority="12">
      <formula>$AD27</formula>
    </cfRule>
    <cfRule type="expression" dxfId="174" priority="161">
      <formula>Y26</formula>
    </cfRule>
  </conditionalFormatting>
  <conditionalFormatting sqref="K56">
    <cfRule type="expression" dxfId="173" priority="10">
      <formula>X56</formula>
    </cfRule>
    <cfRule type="expression" dxfId="172" priority="11">
      <formula>$AD56</formula>
    </cfRule>
  </conditionalFormatting>
  <conditionalFormatting sqref="K58">
    <cfRule type="expression" dxfId="171" priority="8">
      <formula>X58</formula>
    </cfRule>
    <cfRule type="expression" dxfId="170" priority="9">
      <formula>$AD58</formula>
    </cfRule>
  </conditionalFormatting>
  <conditionalFormatting sqref="K60">
    <cfRule type="expression" dxfId="169" priority="6">
      <formula>X60</formula>
    </cfRule>
    <cfRule type="expression" dxfId="168" priority="7">
      <formula>$AD60</formula>
    </cfRule>
  </conditionalFormatting>
  <conditionalFormatting sqref="K62">
    <cfRule type="expression" dxfId="167" priority="4">
      <formula>X62</formula>
    </cfRule>
    <cfRule type="expression" dxfId="166" priority="5">
      <formula>$AD62</formula>
    </cfRule>
  </conditionalFormatting>
  <conditionalFormatting sqref="K64">
    <cfRule type="expression" dxfId="165" priority="2">
      <formula>X64</formula>
    </cfRule>
    <cfRule type="expression" dxfId="164" priority="3">
      <formula>$AD64</formula>
    </cfRule>
  </conditionalFormatting>
  <conditionalFormatting sqref="L29:P29 L34:P34 L39:P39 L44:P44 L49:P49">
    <cfRule type="expression" dxfId="163" priority="1">
      <formula>$AD28</formula>
    </cfRule>
  </conditionalFormatting>
  <dataValidations count="16">
    <dataValidation imeMode="on" allowBlank="1" showInputMessage="1" showErrorMessage="1" sqref="K12 A5 A1:A2 E2 K7 K54 G6:H105" xr:uid="{6CAB66BA-704B-4ABE-B97E-3983DA3EB600}"/>
    <dataValidation imeMode="off" allowBlank="1" showInputMessage="1" showErrorMessage="1" sqref="D5:F5 C2 F6:F105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18286-B26B-4DD1-A320-A3FAE89D8BC6}">
  <sheetPr codeName="template1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受注</v>
      </c>
      <c r="C1" s="20" t="str">
        <f>SCHEMA_EN</f>
        <v>orders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1">
        <v>1</v>
      </c>
      <c r="E2" s="85" t="s">
        <v>54</v>
      </c>
      <c r="F2" s="86" t="s">
        <v>179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100</v>
      </c>
      <c r="AI3" s="7" t="s">
        <v>58</v>
      </c>
      <c r="AQ3" s="114" t="str">
        <f ca="1">IF(AG3,AH3,AQ4)</f>
        <v/>
      </c>
    </row>
    <row r="4" spans="1:43" ht="20">
      <c r="A4" s="10" t="s">
        <v>35</v>
      </c>
      <c r="E4" s="112" t="s">
        <v>83</v>
      </c>
      <c r="K4" s="10" t="s">
        <v>36</v>
      </c>
      <c r="T4" s="65" t="s">
        <v>46</v>
      </c>
      <c r="AF4" s="7" t="s">
        <v>18</v>
      </c>
      <c r="AG4" s="7" t="b">
        <f ca="1">OR(T6:T105)</f>
        <v>0</v>
      </c>
      <c r="AH4" s="7" t="s">
        <v>97</v>
      </c>
      <c r="AI4" s="96" t="s">
        <v>64</v>
      </c>
      <c r="AJ4" s="96" t="s">
        <v>65</v>
      </c>
      <c r="AK4" s="96" t="s">
        <v>7</v>
      </c>
      <c r="AL4" s="96" t="s">
        <v>59</v>
      </c>
      <c r="AM4" s="96" t="s">
        <v>60</v>
      </c>
      <c r="AN4" s="96" t="s">
        <v>61</v>
      </c>
      <c r="AO4" s="96" t="s">
        <v>62</v>
      </c>
      <c r="AP4" s="96" t="s">
        <v>63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98</v>
      </c>
      <c r="AI5" s="56">
        <f>COUNTA(AI6:AI105)</f>
        <v>7</v>
      </c>
      <c r="AJ5" s="66">
        <f>COUNTA(AJ6:AJ105)</f>
        <v>7</v>
      </c>
      <c r="AK5" s="95">
        <f>COUNTA(AK6:AK105)</f>
        <v>3</v>
      </c>
      <c r="AL5" s="83" cm="1">
        <f t="array" aca="1" ref="AL5" ca="1">IFERROR(INDIRECT($L$26&amp;"!R5C35",FALSE),1)</f>
        <v>2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103</v>
      </c>
      <c r="C6" s="34" t="str">
        <f ca="1">IFERROR(VLOOKUP(B6,項目!DATA_AREA,2,FALSE),"")</f>
        <v>order_no</v>
      </c>
      <c r="D6" s="34" t="str">
        <f ca="1">IFERROR(VLOOKUP(B6,項目!DATA_AREA,3,FALSE),"")</f>
        <v>varchar(10)</v>
      </c>
      <c r="E6" s="47">
        <v>1</v>
      </c>
      <c r="F6" s="116" t="s">
        <v>180</v>
      </c>
      <c r="G6" s="37" t="str">
        <f ca="1">IFERROR(VLOOKUP(B6,項目!DATA_AREA,4,FALSE),"")</f>
        <v>(order_no ~* '^RO-[0-9]{7}$')</v>
      </c>
      <c r="H6" s="11" t="b">
        <f ca="1">IFERROR(VLOOKUP(B6,項目!DATA_AREA,5,FALSE),"")</f>
        <v>0</v>
      </c>
      <c r="K6" s="50" t="s">
        <v>57</v>
      </c>
      <c r="L6" s="112" t="s">
        <v>81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47</v>
      </c>
      <c r="AF6" s="7" t="s">
        <v>21</v>
      </c>
      <c r="AG6" s="119" t="b">
        <v>0</v>
      </c>
      <c r="AH6" s="7" t="s">
        <v>99</v>
      </c>
      <c r="AI6" s="56" t="s">
        <v>154</v>
      </c>
      <c r="AJ6" s="66" t="s">
        <v>154</v>
      </c>
      <c r="AK6" s="95" t="s">
        <v>156</v>
      </c>
      <c r="AL6" s="83" t="str" cm="1">
        <f t="array" aca="1" ref="AL6:AL7" ca="1">IFERROR(OFFSET(INDIRECT($L$26&amp;"!R6C35",FALSE),,,AL5,),"N/A")</f>
        <v>担当者ID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130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48">
        <v>1</v>
      </c>
      <c r="F7" s="117" t="s">
        <v>181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90</v>
      </c>
      <c r="AI7" s="56" t="s">
        <v>130</v>
      </c>
      <c r="AJ7" s="66" t="s">
        <v>130</v>
      </c>
      <c r="AK7" s="95" t="s">
        <v>158</v>
      </c>
      <c r="AL7" s="83" t="str">
        <f ca="1"/>
        <v>担当者名</v>
      </c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173</v>
      </c>
      <c r="C8" s="35" t="str">
        <f ca="1">IFERROR(VLOOKUP(B8,項目!DATA_AREA,2,FALSE),"")</f>
        <v>order_pic</v>
      </c>
      <c r="D8" s="35" t="str">
        <f ca="1">IFERROR(VLOOKUP(B8,項目!DATA_AREA,3,FALSE),"")</f>
        <v>varchar(5)</v>
      </c>
      <c r="E8" s="48">
        <v>1</v>
      </c>
      <c r="F8" s="117" t="s">
        <v>180</v>
      </c>
      <c r="G8" s="38" t="str">
        <f ca="1">IFERROR(VLOOKUP(B8,項目!DATA_AREA,4,FALSE),"")</f>
        <v>(order_pic ~* '^U[0-9]{4}$')</v>
      </c>
      <c r="H8" s="12" t="b">
        <f ca="1">IFERROR(VLOOKUP(B8,項目!DATA_AREA,5,FALSE),"")</f>
        <v>0</v>
      </c>
      <c r="K8" s="67" t="s">
        <v>13</v>
      </c>
      <c r="L8" s="68" t="s">
        <v>103</v>
      </c>
      <c r="M8" s="69"/>
      <c r="N8" s="69"/>
      <c r="O8" s="69"/>
      <c r="P8" s="70"/>
      <c r="R8" s="83" t="str">
        <f>_xlfn.CONCAT(L8:P8)</f>
        <v>受注番号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96</v>
      </c>
      <c r="AI8" s="56" t="s">
        <v>173</v>
      </c>
      <c r="AJ8" s="66" t="s">
        <v>173</v>
      </c>
      <c r="AK8" s="95" t="s">
        <v>186</v>
      </c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110</v>
      </c>
      <c r="C9" s="35" t="str">
        <f ca="1">IFERROR(VLOOKUP(B9,項目!DATA_AREA,2,FALSE),"")</f>
        <v>customer_name</v>
      </c>
      <c r="D9" s="35" t="str">
        <f ca="1">IFERROR(VLOOKUP(B9,項目!DATA_AREA,3,FALSE),"")</f>
        <v>varchar(50)</v>
      </c>
      <c r="E9" s="48">
        <v>1</v>
      </c>
      <c r="F9" s="117" t="s">
        <v>180</v>
      </c>
      <c r="G9" s="38">
        <f ca="1">IFERROR(VLOOKUP(B9,項目!DATA_AREA,4,FALSE),"")</f>
        <v>0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91</v>
      </c>
      <c r="AI9" s="56" t="s">
        <v>110</v>
      </c>
      <c r="AJ9" s="66" t="s">
        <v>110</v>
      </c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160</v>
      </c>
      <c r="C10" s="35" t="str">
        <f ca="1">IFERROR(VLOOKUP(B10,項目!DATA_AREA,2,FALSE),"")</f>
        <v>total_order_price</v>
      </c>
      <c r="D10" s="35" t="str">
        <f ca="1">IFERROR(VLOOKUP(B10,項目!DATA_AREA,3,FALSE),"")</f>
        <v>integer</v>
      </c>
      <c r="E10" s="48">
        <v>1</v>
      </c>
      <c r="F10" s="117" t="s">
        <v>182</v>
      </c>
      <c r="G10" s="38" t="str">
        <f ca="1">IFERROR(VLOOKUP(B10,項目!DATA_AREA,4,FALSE),"")</f>
        <v>(0 &lt;= total_order_price AND total_order_price &lt;= 9999999)</v>
      </c>
      <c r="H10" s="12" t="b">
        <f ca="1">IFERROR(VLOOKUP(B10,項目!DATA_AREA,5,FALSE),"")</f>
        <v>0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50</v>
      </c>
      <c r="AG10" s="7" t="b">
        <f ca="1">OR($Y$13:$AC$22)</f>
        <v>0</v>
      </c>
      <c r="AH10" s="7" t="s">
        <v>95</v>
      </c>
      <c r="AI10" s="56" t="s">
        <v>160</v>
      </c>
      <c r="AJ10" s="66" t="s">
        <v>160</v>
      </c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 t="s">
        <v>163</v>
      </c>
      <c r="C11" s="35" t="str">
        <f ca="1">IFERROR(VLOOKUP(B11,項目!DATA_AREA,2,FALSE),"")</f>
        <v>remaining_order_price</v>
      </c>
      <c r="D11" s="35" t="str">
        <f ca="1">IFERROR(VLOOKUP(B11,項目!DATA_AREA,3,FALSE),"")</f>
        <v>integer</v>
      </c>
      <c r="E11" s="48">
        <v>1</v>
      </c>
      <c r="F11" s="117" t="s">
        <v>182</v>
      </c>
      <c r="G11" s="38" t="str">
        <f ca="1">IFERROR(VLOOKUP(B11,項目!DATA_AREA,4,FALSE),"")</f>
        <v>(0 &lt;= remaining_order_price AND remaining_order_price &lt;= 9999999)</v>
      </c>
      <c r="H11" s="12" t="b">
        <f ca="1">IFERROR(VLOOKUP(B11,項目!DATA_AREA,5,FALSE),"")</f>
        <v>0</v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49</v>
      </c>
      <c r="AG11" s="7" t="b">
        <f>OR($AD$13:$AD$22)</f>
        <v>0</v>
      </c>
      <c r="AH11" s="7" t="s">
        <v>89</v>
      </c>
      <c r="AI11" s="56" t="s">
        <v>163</v>
      </c>
      <c r="AJ11" s="66" t="s">
        <v>163</v>
      </c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 t="s">
        <v>127</v>
      </c>
      <c r="C12" s="35" t="str">
        <f ca="1">IFERROR(VLOOKUP(B12,項目!DATA_AREA,2,FALSE),"")</f>
        <v>order_status</v>
      </c>
      <c r="D12" s="35" t="str">
        <f ca="1">IFERROR(VLOOKUP(B12,項目!DATA_AREA,3,FALSE),"")</f>
        <v>order_status</v>
      </c>
      <c r="E12" s="48">
        <v>1</v>
      </c>
      <c r="F12" s="117" t="s">
        <v>183</v>
      </c>
      <c r="G12" s="38">
        <f ca="1">IFERROR(VLOOKUP(B12,項目!DATA_AREA,4,FALSE),"")</f>
        <v>0</v>
      </c>
      <c r="H12" s="12" t="b">
        <f ca="1">IFERROR(VLOOKUP(B12,項目!DATA_AREA,5,FALSE),"")</f>
        <v>1</v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48</v>
      </c>
      <c r="AD12" s="7" t="s">
        <v>49</v>
      </c>
      <c r="AE12" s="7" t="s">
        <v>72</v>
      </c>
      <c r="AF12" s="7" t="s">
        <v>71</v>
      </c>
      <c r="AG12" s="7" t="b">
        <f ca="1">OR($Y$26:$AC$26,$Y$31:$AC$31,$Y$36:$AC$36,$Y$41:$AC$41,$Y$46:$AC$46)</f>
        <v>0</v>
      </c>
      <c r="AH12" s="7" t="s">
        <v>86</v>
      </c>
      <c r="AI12" s="56" t="s">
        <v>127</v>
      </c>
      <c r="AJ12" s="66" t="s">
        <v>127</v>
      </c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51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50</v>
      </c>
      <c r="AG13" s="7" t="b">
        <f ca="1">OR($Y$27:$AC$28,$Y$32:$AC$33,$Y$37:$AC$38,$Y$42:$AC$43,$Y$47:$AC$48)</f>
        <v>0</v>
      </c>
      <c r="AH13" s="7" t="s">
        <v>92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52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73</v>
      </c>
      <c r="AG14" s="7" t="b">
        <f>OR($AD$26,$AD$31,$AD$36,$AD$41,$AD$46)</f>
        <v>0</v>
      </c>
      <c r="AH14" s="7" t="s">
        <v>94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49</v>
      </c>
      <c r="AG15" s="7" t="b">
        <f>OR($AD$27,$AD$32,$AD$37,$AD$42,$AD$47)</f>
        <v>0</v>
      </c>
      <c r="AH15" s="7" t="s">
        <v>87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84</v>
      </c>
      <c r="AG16" s="7" t="b">
        <f ca="1">OR($AD$28,$AD$33,$AD$38,$AD$43,$AD$48)</f>
        <v>0</v>
      </c>
      <c r="AH16" s="7" t="s">
        <v>88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50</v>
      </c>
      <c r="AG17" s="7" t="b">
        <f ca="1">OR($Y$55:$AC$64)</f>
        <v>0</v>
      </c>
      <c r="AH17" s="7" t="s">
        <v>93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49</v>
      </c>
      <c r="AG18" s="7" t="b">
        <f>OR($AD$55:$AD$64)</f>
        <v>0</v>
      </c>
      <c r="AH18" s="7" t="s">
        <v>85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70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56</v>
      </c>
      <c r="L25" s="112" t="s">
        <v>82</v>
      </c>
      <c r="T25" s="19" t="b">
        <f t="shared" ca="1" si="0"/>
        <v>0</v>
      </c>
      <c r="U25" s="19" t="b">
        <f t="shared" si="2"/>
        <v>0</v>
      </c>
      <c r="V25" s="19"/>
      <c r="X25" s="7" t="s">
        <v>71</v>
      </c>
      <c r="AD25" s="7" t="s">
        <v>73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75</v>
      </c>
      <c r="L26" s="100" t="s">
        <v>186</v>
      </c>
      <c r="M26" s="104" t="s">
        <v>76</v>
      </c>
      <c r="N26" s="100"/>
      <c r="O26" s="104" t="s">
        <v>77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73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受注担当者ID</v>
      </c>
      <c r="S27" s="66" t="str">
        <f>_xlfn.CONCAT(L26,R27)</f>
        <v>担当者受注担当者ID</v>
      </c>
      <c r="T27" s="19" t="b">
        <f t="shared" ca="1" si="0"/>
        <v>0</v>
      </c>
      <c r="U27" s="19" t="b">
        <f t="shared" si="2"/>
        <v>0</v>
      </c>
      <c r="V27" s="19"/>
      <c r="X27" s="7" t="s">
        <v>51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49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78</v>
      </c>
      <c r="L28" s="92" t="s">
        <v>173</v>
      </c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52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84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79</v>
      </c>
      <c r="L29" s="93" t="s">
        <v>170</v>
      </c>
      <c r="M29" s="81"/>
      <c r="N29" s="81"/>
      <c r="O29" s="81"/>
      <c r="P29" s="82"/>
      <c r="R29" s="83" t="str">
        <f t="shared" ref="R29" si="10">_xlfn.CONCAT(L29:P29)</f>
        <v>担当者ID</v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担当者ID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担当者ID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75</v>
      </c>
      <c r="L31" s="100"/>
      <c r="M31" s="104" t="s">
        <v>76</v>
      </c>
      <c r="N31" s="100"/>
      <c r="O31" s="104" t="s">
        <v>77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78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79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75</v>
      </c>
      <c r="L36" s="100"/>
      <c r="M36" s="104" t="s">
        <v>76</v>
      </c>
      <c r="N36" s="100"/>
      <c r="O36" s="104" t="s">
        <v>77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78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79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75</v>
      </c>
      <c r="L41" s="100"/>
      <c r="M41" s="104" t="s">
        <v>76</v>
      </c>
      <c r="N41" s="100"/>
      <c r="O41" s="104" t="s">
        <v>77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78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79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75</v>
      </c>
      <c r="L46" s="100"/>
      <c r="M46" s="104" t="s">
        <v>76</v>
      </c>
      <c r="N46" s="100"/>
      <c r="O46" s="104" t="s">
        <v>77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78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79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80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74</v>
      </c>
      <c r="AD54" s="7" t="s">
        <v>49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51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52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担当者ID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/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/>
      </c>
      <c r="AM108" s="66"/>
      <c r="AN108" s="66"/>
      <c r="AO108" s="66"/>
      <c r="AP108" s="66"/>
    </row>
    <row r="109" spans="1:42">
      <c r="AL109" s="66" t="str">
        <f ca="1"/>
        <v/>
      </c>
      <c r="AM109" s="66"/>
      <c r="AN109" s="66"/>
      <c r="AO109" s="66"/>
      <c r="AP109" s="66"/>
    </row>
    <row r="110" spans="1:42">
      <c r="AL110" s="66" t="str">
        <f ca="1"/>
        <v/>
      </c>
      <c r="AM110" s="66"/>
      <c r="AN110" s="66"/>
      <c r="AO110" s="66"/>
      <c r="AP110" s="66"/>
    </row>
    <row r="111" spans="1:42">
      <c r="AL111" s="66" t="str">
        <f ca="1"/>
        <v/>
      </c>
      <c r="AM111" s="66"/>
      <c r="AN111" s="66"/>
      <c r="AO111" s="66"/>
      <c r="AP111" s="66"/>
    </row>
    <row r="112" spans="1:42">
      <c r="AL112" s="66" t="str">
        <f ca="1"/>
        <v/>
      </c>
      <c r="AM112" s="66"/>
      <c r="AN112" s="66"/>
      <c r="AO112" s="66"/>
      <c r="AP112" s="66"/>
    </row>
    <row r="113" spans="38:42">
      <c r="AL113" s="66" t="str">
        <f ca="1"/>
        <v/>
      </c>
      <c r="AM113" s="66"/>
      <c r="AN113" s="66"/>
      <c r="AO113" s="66"/>
      <c r="AP113" s="66"/>
    </row>
    <row r="114" spans="38:42">
      <c r="AL114" s="66" t="str">
        <f ca="1"/>
        <v/>
      </c>
      <c r="AM114" s="66"/>
      <c r="AN114" s="66"/>
      <c r="AO114" s="66"/>
      <c r="AP114" s="66"/>
    </row>
    <row r="115" spans="38:42">
      <c r="AL115" s="66" t="str">
        <f ca="1"/>
        <v/>
      </c>
      <c r="AM115" s="66"/>
      <c r="AN115" s="66"/>
      <c r="AO115" s="66"/>
      <c r="AP115" s="66"/>
    </row>
    <row r="116" spans="38:42">
      <c r="AL116" s="66" t="str">
        <f ca="1"/>
        <v/>
      </c>
      <c r="AM116" s="66"/>
      <c r="AN116" s="66"/>
      <c r="AO116" s="66"/>
      <c r="AP116" s="66"/>
    </row>
  </sheetData>
  <phoneticPr fontId="2"/>
  <conditionalFormatting sqref="B2:C2">
    <cfRule type="expression" dxfId="162" priority="24">
      <formula>ISERROR(B2)</formula>
    </cfRule>
  </conditionalFormatting>
  <conditionalFormatting sqref="B6:B105">
    <cfRule type="expression" dxfId="161" priority="22">
      <formula>COUNTIF(FIELD_NAME,B6)&gt;1</formula>
    </cfRule>
    <cfRule type="expression" dxfId="160" priority="23">
      <formula>AND($B6&lt;&gt;"",ISNA(MATCH($B6,項目リスト,0)))</formula>
    </cfRule>
  </conditionalFormatting>
  <conditionalFormatting sqref="B6">
    <cfRule type="expression" dxfId="159" priority="21">
      <formula>$AI$6="N/A"</formula>
    </cfRule>
  </conditionalFormatting>
  <conditionalFormatting sqref="D1">
    <cfRule type="cellIs" dxfId="158" priority="20" operator="greaterThan">
      <formula>0</formula>
    </cfRule>
  </conditionalFormatting>
  <conditionalFormatting sqref="L8:P8">
    <cfRule type="expression" dxfId="157" priority="26">
      <formula>Y8</formula>
    </cfRule>
    <cfRule type="expression" dxfId="156" priority="27">
      <formula>Y7</formula>
    </cfRule>
  </conditionalFormatting>
  <conditionalFormatting sqref="L13:P22">
    <cfRule type="expression" dxfId="155" priority="18">
      <formula>Y13</formula>
    </cfRule>
    <cfRule type="expression" dxfId="154" priority="19">
      <formula>$AD13</formula>
    </cfRule>
  </conditionalFormatting>
  <conditionalFormatting sqref="L8">
    <cfRule type="expression" dxfId="153" priority="25">
      <formula>$AG$7</formula>
    </cfRule>
  </conditionalFormatting>
  <conditionalFormatting sqref="L55:P64">
    <cfRule type="expression" dxfId="152" priority="16">
      <formula>Y55</formula>
    </cfRule>
    <cfRule type="expression" dxfId="151" priority="17">
      <formula>$AD55</formula>
    </cfRule>
  </conditionalFormatting>
  <conditionalFormatting sqref="L43:P44">
    <cfRule type="expression" dxfId="150" priority="15">
      <formula>Y42</formula>
    </cfRule>
  </conditionalFormatting>
  <conditionalFormatting sqref="L43:P43">
    <cfRule type="expression" dxfId="149" priority="13">
      <formula>$AD42</formula>
    </cfRule>
    <cfRule type="expression" dxfId="148" priority="29">
      <formula>Y41</formula>
    </cfRule>
  </conditionalFormatting>
  <conditionalFormatting sqref="L43">
    <cfRule type="expression" dxfId="147" priority="14">
      <formula>$AD41</formula>
    </cfRule>
  </conditionalFormatting>
  <conditionalFormatting sqref="L28:P29 L33:P34 L38:P39 L48:P49 L43:P44">
    <cfRule type="expression" dxfId="146" priority="30">
      <formula>Y27</formula>
    </cfRule>
  </conditionalFormatting>
  <conditionalFormatting sqref="L29:P29 L34:P34 L39:P39 L49:P49">
    <cfRule type="expression" dxfId="145" priority="31">
      <formula>$AD27</formula>
    </cfRule>
    <cfRule type="expression" dxfId="144" priority="32">
      <formula>Y26</formula>
    </cfRule>
  </conditionalFormatting>
  <conditionalFormatting sqref="L28 L33 L38 L48 L43">
    <cfRule type="expression" dxfId="143" priority="33">
      <formula>$AD26</formula>
    </cfRule>
  </conditionalFormatting>
  <conditionalFormatting sqref="L44:P44">
    <cfRule type="expression" dxfId="142" priority="34">
      <formula>$AD42</formula>
    </cfRule>
    <cfRule type="expression" dxfId="141" priority="35">
      <formula>Y41</formula>
    </cfRule>
  </conditionalFormatting>
  <conditionalFormatting sqref="L28:P28 L33:P33 L38:P38 L43:P43 L48:P48">
    <cfRule type="expression" dxfId="140" priority="12">
      <formula>$AD27</formula>
    </cfRule>
    <cfRule type="expression" dxfId="139" priority="28">
      <formula>Y26</formula>
    </cfRule>
  </conditionalFormatting>
  <conditionalFormatting sqref="K56">
    <cfRule type="expression" dxfId="138" priority="10">
      <formula>X56</formula>
    </cfRule>
    <cfRule type="expression" dxfId="137" priority="11">
      <formula>$AD56</formula>
    </cfRule>
  </conditionalFormatting>
  <conditionalFormatting sqref="K58">
    <cfRule type="expression" dxfId="136" priority="8">
      <formula>X58</formula>
    </cfRule>
    <cfRule type="expression" dxfId="135" priority="9">
      <formula>$AD58</formula>
    </cfRule>
  </conditionalFormatting>
  <conditionalFormatting sqref="K60">
    <cfRule type="expression" dxfId="134" priority="6">
      <formula>X60</formula>
    </cfRule>
    <cfRule type="expression" dxfId="133" priority="7">
      <formula>$AD60</formula>
    </cfRule>
  </conditionalFormatting>
  <conditionalFormatting sqref="K62">
    <cfRule type="expression" dxfId="132" priority="4">
      <formula>X62</formula>
    </cfRule>
    <cfRule type="expression" dxfId="131" priority="5">
      <formula>$AD62</formula>
    </cfRule>
  </conditionalFormatting>
  <conditionalFormatting sqref="K64">
    <cfRule type="expression" dxfId="130" priority="2">
      <formula>X64</formula>
    </cfRule>
    <cfRule type="expression" dxfId="129" priority="3">
      <formula>$AD64</formula>
    </cfRule>
  </conditionalFormatting>
  <conditionalFormatting sqref="L29:P29 L34:P34 L39:P39 L44:P44 L49:P49">
    <cfRule type="expression" dxfId="128" priority="1">
      <formula>$AD28</formula>
    </cfRule>
  </conditionalFormatting>
  <conditionalFormatting sqref="E6">
    <cfRule type="expression" dxfId="127" priority="36" stopIfTrue="1">
      <formula>RC22</formula>
    </cfRule>
  </conditionalFormatting>
  <conditionalFormatting sqref="E7">
    <cfRule type="expression" dxfId="126" priority="37" stopIfTrue="1">
      <formula>RC22</formula>
    </cfRule>
  </conditionalFormatting>
  <conditionalFormatting sqref="E8">
    <cfRule type="expression" dxfId="125" priority="38" stopIfTrue="1">
      <formula>RC22</formula>
    </cfRule>
  </conditionalFormatting>
  <conditionalFormatting sqref="E9">
    <cfRule type="expression" dxfId="124" priority="39" stopIfTrue="1">
      <formula>RC22</formula>
    </cfRule>
  </conditionalFormatting>
  <conditionalFormatting sqref="E10">
    <cfRule type="expression" dxfId="123" priority="40" stopIfTrue="1">
      <formula>RC22</formula>
    </cfRule>
  </conditionalFormatting>
  <conditionalFormatting sqref="E11">
    <cfRule type="expression" dxfId="122" priority="41" stopIfTrue="1">
      <formula>RC22</formula>
    </cfRule>
  </conditionalFormatting>
  <conditionalFormatting sqref="E12">
    <cfRule type="expression" dxfId="121" priority="42" stopIfTrue="1">
      <formula>RC22</formula>
    </cfRule>
  </conditionalFormatting>
  <dataValidations count="16">
    <dataValidation imeMode="off" allowBlank="1" showInputMessage="1" showErrorMessage="1" sqref="D5:F5 C2 F6:F105" xr:uid="{1D54F493-7C4B-4036-88B3-30E2C87427B6}"/>
    <dataValidation type="whole" imeMode="off" operator="equal" allowBlank="1" showInputMessage="1" showErrorMessage="1" error="DESC指定の場合に‐1を入力" sqref="L56:P56 L58:P58 L60:P60 L62:P62 L64:P64" xr:uid="{D437BFD6-71B1-4E97-8EA1-D46AB89A5B24}">
      <formula1>-1</formula1>
    </dataValidation>
    <dataValidation type="whole" imeMode="off" operator="equal" allowBlank="1" showInputMessage="1" showErrorMessage="1" error="Unique indexの場合に1を入力" sqref="K56 K58 K60 K62 K64" xr:uid="{4F54A956-9417-42E2-A39D-DBEF0192BC9E}">
      <formula1>1</formula1>
    </dataValidation>
    <dataValidation type="list" allowBlank="1" showInputMessage="1" showErrorMessage="1" sqref="N26 P26 N31 P31 N36 P36 N41 P41 N46 P46" xr:uid="{B8F42BF2-2A97-4FBA-B628-175597A54060}">
      <formula1>FK_OPTION</formula1>
    </dataValidation>
    <dataValidation type="list" allowBlank="1" showInputMessage="1" showErrorMessage="1" sqref="L49:P49" xr:uid="{AC3866E6-F67B-4468-8AFD-43A2ACF4ECEB}">
      <formula1>FK_FIELD_5</formula1>
    </dataValidation>
    <dataValidation type="list" allowBlank="1" showInputMessage="1" showErrorMessage="1" sqref="L44:P44" xr:uid="{7B947B0A-7441-46E3-93B8-6558BB291F7B}">
      <formula1>FK_FIELD_4</formula1>
    </dataValidation>
    <dataValidation type="list" allowBlank="1" showInputMessage="1" showErrorMessage="1" sqref="L39:P39" xr:uid="{F923E0C3-F8A8-4A5D-947F-5688980742C1}">
      <formula1>FK_FIELD_3</formula1>
    </dataValidation>
    <dataValidation type="list" allowBlank="1" showInputMessage="1" showErrorMessage="1" sqref="L34:P34" xr:uid="{60DC3A6B-D714-4709-95B4-4A6CDDD06C76}">
      <formula1>FK_FIELD_2</formula1>
    </dataValidation>
    <dataValidation type="list" allowBlank="1" showInputMessage="1" showErrorMessage="1" sqref="L29:P29" xr:uid="{F90B6B2B-6959-434B-A9FD-49F930228FB9}">
      <formula1>FK_FIELD_1</formula1>
    </dataValidation>
    <dataValidation type="list" allowBlank="1" showInputMessage="1" showErrorMessage="1" sqref="L26 L31 L36 L41 L46" xr:uid="{4197469C-8C35-4880-8D8D-467C6CA1DCEB}">
      <formula1>TABLEリスト</formula1>
    </dataValidation>
    <dataValidation type="list" allowBlank="1" showInputMessage="1" showErrorMessage="1" sqref="F2" xr:uid="{A527AD8E-B3B6-4106-98AA-9B2A5460CC05}">
      <formula1>"○,-"</formula1>
    </dataValidation>
    <dataValidation type="list" allowBlank="1" showInputMessage="1" showErrorMessage="1" sqref="L13:P22 L43:P43 L48:P48 L33:P33 L38:P38 L28:P28 L55:P55 L57:P57 L59:P59 L61:P61 L63:P63" xr:uid="{81FC2B7C-009E-48C8-99DF-EDE13B450F24}">
      <formula1>FIELDリスト</formula1>
    </dataValidation>
    <dataValidation type="list" allowBlank="1" showInputMessage="1" showErrorMessage="1" sqref="L8:P8" xr:uid="{D0FD8B98-FD50-4E00-81E5-032CCFF9D38C}">
      <formula1>FIELDリストNN</formula1>
    </dataValidation>
    <dataValidation type="whole" imeMode="off" operator="equal" allowBlank="1" showInputMessage="1" showErrorMessage="1" error="NotNullの場合は[1]を入力する。" sqref="E6:E105" xr:uid="{8B1135B2-D82F-40DE-A087-FF8BC32F8A49}">
      <formula1>1</formula1>
    </dataValidation>
    <dataValidation type="list" allowBlank="1" showInputMessage="1" showErrorMessage="1" sqref="B6:B105" xr:uid="{F65C81DF-BB80-4416-B277-31BB32227C4D}">
      <formula1>項目リスト</formula1>
    </dataValidation>
    <dataValidation imeMode="on" allowBlank="1" showInputMessage="1" showErrorMessage="1" sqref="K12 A5 A1:A2 E2 K7 K54 G6:H105" xr:uid="{F164ED5A-858E-4827-A44B-2E0F32933ABC}"/>
  </dataValidations>
  <hyperlinks>
    <hyperlink ref="E1" location="一覧!R1C1" display="一覧へ" xr:uid="{5F5F457B-614E-4C48-8044-616FD32DF06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22C4E-EAC8-4553-A87A-F6EE217100BF}">
  <sheetPr codeName="template2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受注</v>
      </c>
      <c r="C1" s="20" t="str">
        <f>SCHEMA_EN</f>
        <v>orders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1">
        <v>2</v>
      </c>
      <c r="E2" s="85" t="s">
        <v>54</v>
      </c>
      <c r="F2" s="86" t="s">
        <v>179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100</v>
      </c>
      <c r="AI3" s="7" t="s">
        <v>58</v>
      </c>
      <c r="AQ3" s="114" t="str">
        <f ca="1">IF(AG3,AH3,AQ4)</f>
        <v/>
      </c>
    </row>
    <row r="4" spans="1:43" ht="20">
      <c r="A4" s="10" t="s">
        <v>35</v>
      </c>
      <c r="E4" s="112" t="s">
        <v>83</v>
      </c>
      <c r="K4" s="10" t="s">
        <v>36</v>
      </c>
      <c r="T4" s="65" t="s">
        <v>46</v>
      </c>
      <c r="AF4" s="7" t="s">
        <v>18</v>
      </c>
      <c r="AG4" s="7" t="b">
        <f ca="1">OR(T6:T105)</f>
        <v>0</v>
      </c>
      <c r="AH4" s="7" t="s">
        <v>97</v>
      </c>
      <c r="AI4" s="96" t="s">
        <v>64</v>
      </c>
      <c r="AJ4" s="96" t="s">
        <v>65</v>
      </c>
      <c r="AK4" s="96" t="s">
        <v>7</v>
      </c>
      <c r="AL4" s="96" t="s">
        <v>59</v>
      </c>
      <c r="AM4" s="96" t="s">
        <v>60</v>
      </c>
      <c r="AN4" s="96" t="s">
        <v>61</v>
      </c>
      <c r="AO4" s="96" t="s">
        <v>62</v>
      </c>
      <c r="AP4" s="96" t="s">
        <v>63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98</v>
      </c>
      <c r="AI5" s="56">
        <f>COUNTA(AI6:AI105)</f>
        <v>9</v>
      </c>
      <c r="AJ5" s="66">
        <f>COUNTA(AJ6:AJ105)</f>
        <v>9</v>
      </c>
      <c r="AK5" s="95">
        <f>COUNTA(AK6:AK105)</f>
        <v>3</v>
      </c>
      <c r="AL5" s="83" cm="1">
        <f t="array" aca="1" ref="AL5" ca="1">IFERROR(INDIRECT($L$26&amp;"!R5C35",FALSE),1)</f>
        <v>7</v>
      </c>
      <c r="AM5" s="83" cm="1">
        <f t="array" aca="1" ref="AM5" ca="1">IFERROR(INDIRECT($L$31&amp;"!R5C35",FALSE),1)</f>
        <v>5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103</v>
      </c>
      <c r="C6" s="34" t="str">
        <f ca="1">IFERROR(VLOOKUP(B6,項目!DATA_AREA,2,FALSE),"")</f>
        <v>order_no</v>
      </c>
      <c r="D6" s="34" t="str">
        <f ca="1">IFERROR(VLOOKUP(B6,項目!DATA_AREA,3,FALSE),"")</f>
        <v>varchar(10)</v>
      </c>
      <c r="E6" s="47">
        <v>1</v>
      </c>
      <c r="F6" s="116" t="s">
        <v>180</v>
      </c>
      <c r="G6" s="37" t="str">
        <f ca="1">IFERROR(VLOOKUP(B6,項目!DATA_AREA,4,FALSE),"")</f>
        <v>(order_no ~* '^RO-[0-9]{7}$')</v>
      </c>
      <c r="H6" s="11" t="b">
        <f ca="1">IFERROR(VLOOKUP(B6,項目!DATA_AREA,5,FALSE),"")</f>
        <v>0</v>
      </c>
      <c r="K6" s="50" t="s">
        <v>57</v>
      </c>
      <c r="L6" s="112" t="s">
        <v>81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47</v>
      </c>
      <c r="AF6" s="7" t="s">
        <v>21</v>
      </c>
      <c r="AG6" s="119" t="b">
        <v>0</v>
      </c>
      <c r="AH6" s="7" t="s">
        <v>99</v>
      </c>
      <c r="AI6" s="56" t="s">
        <v>154</v>
      </c>
      <c r="AJ6" s="66" t="s">
        <v>154</v>
      </c>
      <c r="AK6" s="95" t="s">
        <v>157</v>
      </c>
      <c r="AL6" s="83" t="str" cm="1">
        <f t="array" aca="1" ref="AL6:AL12" ca="1">IFERROR(OFFSET(INDIRECT($L$26&amp;"!R6C35",FALSE),,,AL5,),"N/A")</f>
        <v>受注番号</v>
      </c>
      <c r="AM6" s="83" t="str" cm="1">
        <f t="array" aca="1" ref="AM6:AM10" ca="1">IFERROR(OFFSET(INDIRECT($L$31&amp;"!R6C35",FALSE),,,AM5,),"N/A")</f>
        <v>商品ID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117</v>
      </c>
      <c r="C7" s="35" t="str">
        <f ca="1">IFERROR(VLOOKUP(B7,項目!DATA_AREA,2,FALSE),"")</f>
        <v>product_id</v>
      </c>
      <c r="D7" s="35" t="str">
        <f ca="1">IFERROR(VLOOKUP(B7,項目!DATA_AREA,3,FALSE),"")</f>
        <v>varchar(5)</v>
      </c>
      <c r="E7" s="48">
        <v>1</v>
      </c>
      <c r="F7" s="117" t="s">
        <v>180</v>
      </c>
      <c r="G7" s="38" t="str">
        <f ca="1">IFERROR(VLOOKUP(B7,項目!DATA_AREA,4,FALSE),"")</f>
        <v>(product_id ~* '^P[0-9]{4}$')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90</v>
      </c>
      <c r="AI7" s="56" t="s">
        <v>117</v>
      </c>
      <c r="AJ7" s="66" t="s">
        <v>117</v>
      </c>
      <c r="AK7" s="95" t="s">
        <v>158</v>
      </c>
      <c r="AL7" s="83" t="str">
        <f ca="1"/>
        <v>受注日</v>
      </c>
      <c r="AM7" s="83" t="str">
        <f ca="1"/>
        <v>商品名</v>
      </c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138</v>
      </c>
      <c r="C8" s="35" t="str">
        <f ca="1">IFERROR(VLOOKUP(B8,項目!DATA_AREA,2,FALSE),"")</f>
        <v>receiving_quantity</v>
      </c>
      <c r="D8" s="35" t="str">
        <f ca="1">IFERROR(VLOOKUP(B8,項目!DATA_AREA,3,FALSE),"")</f>
        <v>integer</v>
      </c>
      <c r="E8" s="48">
        <v>1</v>
      </c>
      <c r="F8" s="117" t="s">
        <v>182</v>
      </c>
      <c r="G8" s="38" t="str">
        <f ca="1">IFERROR(VLOOKUP(B8,項目!DATA_AREA,4,FALSE),"")</f>
        <v>(0 &lt;= receiving_quantity AND receiving_quantity &lt;= 1000)</v>
      </c>
      <c r="H8" s="12" t="b">
        <f ca="1">IFERROR(VLOOKUP(B8,項目!DATA_AREA,5,FALSE),"")</f>
        <v>0</v>
      </c>
      <c r="K8" s="67" t="s">
        <v>13</v>
      </c>
      <c r="L8" s="68" t="s">
        <v>103</v>
      </c>
      <c r="M8" s="69" t="s">
        <v>117</v>
      </c>
      <c r="N8" s="69"/>
      <c r="O8" s="69"/>
      <c r="P8" s="70"/>
      <c r="R8" s="83" t="str">
        <f>_xlfn.CONCAT(L8:P8)</f>
        <v>受注番号商品ID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96</v>
      </c>
      <c r="AI8" s="56" t="s">
        <v>138</v>
      </c>
      <c r="AJ8" s="66" t="s">
        <v>138</v>
      </c>
      <c r="AK8" s="95" t="s">
        <v>186</v>
      </c>
      <c r="AL8" s="83" t="str">
        <f ca="1"/>
        <v>受注担当者ID</v>
      </c>
      <c r="AM8" s="83" t="str">
        <f ca="1"/>
        <v>商品原価</v>
      </c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141</v>
      </c>
      <c r="C9" s="35" t="str">
        <f ca="1">IFERROR(VLOOKUP(B9,項目!DATA_AREA,2,FALSE),"")</f>
        <v>shipping_quantity</v>
      </c>
      <c r="D9" s="35" t="str">
        <f ca="1">IFERROR(VLOOKUP(B9,項目!DATA_AREA,3,FALSE),"")</f>
        <v>integer</v>
      </c>
      <c r="E9" s="48">
        <v>1</v>
      </c>
      <c r="F9" s="117" t="s">
        <v>182</v>
      </c>
      <c r="G9" s="38" t="str">
        <f ca="1">IFERROR(VLOOKUP(B9,項目!DATA_AREA,4,FALSE),"")</f>
        <v>(0 &lt;= shipping_quantity AND shipping_quantity &lt;= 1000)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91</v>
      </c>
      <c r="AI9" s="56" t="s">
        <v>141</v>
      </c>
      <c r="AJ9" s="66" t="s">
        <v>141</v>
      </c>
      <c r="AK9" s="95"/>
      <c r="AL9" s="83" t="str">
        <f ca="1"/>
        <v>得意先名称</v>
      </c>
      <c r="AM9" s="83" t="str">
        <f ca="1"/>
        <v>商品管理者ID</v>
      </c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144</v>
      </c>
      <c r="C10" s="35" t="str">
        <f ca="1">IFERROR(VLOOKUP(B10,項目!DATA_AREA,2,FALSE),"")</f>
        <v>cancel_quantity</v>
      </c>
      <c r="D10" s="35" t="str">
        <f ca="1">IFERROR(VLOOKUP(B10,項目!DATA_AREA,3,FALSE),"")</f>
        <v>integer</v>
      </c>
      <c r="E10" s="48">
        <v>1</v>
      </c>
      <c r="F10" s="117" t="s">
        <v>182</v>
      </c>
      <c r="G10" s="38" t="str">
        <f ca="1">IFERROR(VLOOKUP(B10,項目!DATA_AREA,4,FALSE),"")</f>
        <v>(0 &lt;= cancel_quantity AND cancel_quantity &lt;= 1000)</v>
      </c>
      <c r="H10" s="12" t="b">
        <f ca="1">IFERROR(VLOOKUP(B10,項目!DATA_AREA,5,FALSE),"")</f>
        <v>0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50</v>
      </c>
      <c r="AG10" s="7" t="b">
        <f ca="1">OR($Y$13:$AC$22)</f>
        <v>0</v>
      </c>
      <c r="AH10" s="7" t="s">
        <v>95</v>
      </c>
      <c r="AI10" s="56" t="s">
        <v>144</v>
      </c>
      <c r="AJ10" s="66" t="s">
        <v>144</v>
      </c>
      <c r="AK10" s="95"/>
      <c r="AL10" s="83" t="str">
        <f ca="1"/>
        <v>受注金額</v>
      </c>
      <c r="AM10" s="83" t="str">
        <f ca="1"/>
        <v>商品ステータス</v>
      </c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 t="s">
        <v>147</v>
      </c>
      <c r="C11" s="35" t="str">
        <f ca="1">IFERROR(VLOOKUP(B11,項目!DATA_AREA,2,FALSE),"")</f>
        <v>remaining_quantity</v>
      </c>
      <c r="D11" s="35" t="str">
        <f ca="1">IFERROR(VLOOKUP(B11,項目!DATA_AREA,3,FALSE),"")</f>
        <v>integer</v>
      </c>
      <c r="E11" s="48">
        <v>1</v>
      </c>
      <c r="F11" s="117" t="s">
        <v>182</v>
      </c>
      <c r="G11" s="38" t="str">
        <f ca="1">IFERROR(VLOOKUP(B11,項目!DATA_AREA,4,FALSE),"")</f>
        <v>(0 &lt;= remaining_quantity AND remaining_quantity &lt;= 1000)</v>
      </c>
      <c r="H11" s="12" t="b">
        <f ca="1">IFERROR(VLOOKUP(B11,項目!DATA_AREA,5,FALSE),"")</f>
        <v>0</v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49</v>
      </c>
      <c r="AG11" s="7" t="b">
        <f>OR($AD$13:$AD$22)</f>
        <v>0</v>
      </c>
      <c r="AH11" s="7" t="s">
        <v>89</v>
      </c>
      <c r="AI11" s="56" t="s">
        <v>147</v>
      </c>
      <c r="AJ11" s="66" t="s">
        <v>147</v>
      </c>
      <c r="AK11" s="95"/>
      <c r="AL11" s="83" t="str">
        <f ca="1"/>
        <v>受注残額</v>
      </c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 t="s">
        <v>150</v>
      </c>
      <c r="C12" s="35" t="str">
        <f ca="1">IFERROR(VLOOKUP(B12,項目!DATA_AREA,2,FALSE),"")</f>
        <v>sellling_price</v>
      </c>
      <c r="D12" s="35" t="str">
        <f ca="1">IFERROR(VLOOKUP(B12,項目!DATA_AREA,3,FALSE),"")</f>
        <v>integer</v>
      </c>
      <c r="E12" s="48">
        <v>1</v>
      </c>
      <c r="F12" s="117" t="s">
        <v>182</v>
      </c>
      <c r="G12" s="38" t="str">
        <f ca="1">IFERROR(VLOOKUP(B12,項目!DATA_AREA,4,FALSE),"")</f>
        <v>(0 &lt;= sellling_price AND sellling_price &lt;= 9999999)</v>
      </c>
      <c r="H12" s="12" t="b">
        <f ca="1">IFERROR(VLOOKUP(B12,項目!DATA_AREA,5,FALSE),"")</f>
        <v>0</v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48</v>
      </c>
      <c r="AD12" s="7" t="s">
        <v>49</v>
      </c>
      <c r="AE12" s="7" t="s">
        <v>72</v>
      </c>
      <c r="AF12" s="7" t="s">
        <v>71</v>
      </c>
      <c r="AG12" s="7" t="b">
        <f ca="1">OR($Y$26:$AC$26,$Y$31:$AC$31,$Y$36:$AC$36,$Y$41:$AC$41,$Y$46:$AC$46)</f>
        <v>0</v>
      </c>
      <c r="AH12" s="7" t="s">
        <v>86</v>
      </c>
      <c r="AI12" s="56" t="s">
        <v>150</v>
      </c>
      <c r="AJ12" s="66" t="s">
        <v>150</v>
      </c>
      <c r="AK12" s="95"/>
      <c r="AL12" s="83" t="str">
        <f ca="1"/>
        <v>受注ステータス</v>
      </c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 t="s">
        <v>135</v>
      </c>
      <c r="C13" s="35" t="str">
        <f ca="1">IFERROR(VLOOKUP(B13,項目!DATA_AREA,2,FALSE),"")</f>
        <v>cost_price</v>
      </c>
      <c r="D13" s="35" t="str">
        <f ca="1">IFERROR(VLOOKUP(B13,項目!DATA_AREA,3,FALSE),"")</f>
        <v>integer</v>
      </c>
      <c r="E13" s="48">
        <v>1</v>
      </c>
      <c r="F13" s="117" t="s">
        <v>182</v>
      </c>
      <c r="G13" s="38" t="str">
        <f ca="1">IFERROR(VLOOKUP(B13,項目!DATA_AREA,4,FALSE),"")</f>
        <v>(0 &lt;= cost_price AND cost_price &lt;= 9999999)</v>
      </c>
      <c r="H13" s="12" t="b">
        <f ca="1">IFERROR(VLOOKUP(B13,項目!DATA_AREA,5,FALSE),"")</f>
        <v>0</v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51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50</v>
      </c>
      <c r="AG13" s="7" t="b">
        <f ca="1">OR($Y$27:$AC$28,$Y$32:$AC$33,$Y$37:$AC$38,$Y$42:$AC$43,$Y$47:$AC$48)</f>
        <v>0</v>
      </c>
      <c r="AH13" s="7" t="s">
        <v>92</v>
      </c>
      <c r="AI13" s="56" t="s">
        <v>135</v>
      </c>
      <c r="AJ13" s="66" t="s">
        <v>135</v>
      </c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 t="s">
        <v>127</v>
      </c>
      <c r="C14" s="35" t="str">
        <f ca="1">IFERROR(VLOOKUP(B14,項目!DATA_AREA,2,FALSE),"")</f>
        <v>order_status</v>
      </c>
      <c r="D14" s="35" t="str">
        <f ca="1">IFERROR(VLOOKUP(B14,項目!DATA_AREA,3,FALSE),"")</f>
        <v>order_status</v>
      </c>
      <c r="E14" s="48">
        <v>1</v>
      </c>
      <c r="F14" s="117" t="s">
        <v>183</v>
      </c>
      <c r="G14" s="38">
        <f ca="1">IFERROR(VLOOKUP(B14,項目!DATA_AREA,4,FALSE),"")</f>
        <v>0</v>
      </c>
      <c r="H14" s="12" t="b">
        <f ca="1">IFERROR(VLOOKUP(B14,項目!DATA_AREA,5,FALSE),"")</f>
        <v>1</v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52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73</v>
      </c>
      <c r="AG14" s="7" t="b">
        <f>OR($AD$26,$AD$31,$AD$36,$AD$41,$AD$46)</f>
        <v>0</v>
      </c>
      <c r="AH14" s="7" t="s">
        <v>94</v>
      </c>
      <c r="AI14" s="56" t="s">
        <v>127</v>
      </c>
      <c r="AJ14" s="66" t="s">
        <v>127</v>
      </c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49</v>
      </c>
      <c r="AG15" s="7" t="b">
        <f>OR($AD$27,$AD$32,$AD$37,$AD$42,$AD$47)</f>
        <v>0</v>
      </c>
      <c r="AH15" s="7" t="s">
        <v>87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84</v>
      </c>
      <c r="AG16" s="7" t="b">
        <f ca="1">OR($AD$28,$AD$33,$AD$38,$AD$43,$AD$48)</f>
        <v>0</v>
      </c>
      <c r="AH16" s="7" t="s">
        <v>88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50</v>
      </c>
      <c r="AG17" s="7" t="b">
        <f ca="1">OR($Y$55:$AC$64)</f>
        <v>0</v>
      </c>
      <c r="AH17" s="7" t="s">
        <v>93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49</v>
      </c>
      <c r="AG18" s="7" t="b">
        <f>OR($AD$55:$AD$64)</f>
        <v>0</v>
      </c>
      <c r="AH18" s="7" t="s">
        <v>85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70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56</v>
      </c>
      <c r="L25" s="112" t="s">
        <v>82</v>
      </c>
      <c r="T25" s="19" t="b">
        <f t="shared" ca="1" si="0"/>
        <v>0</v>
      </c>
      <c r="U25" s="19" t="b">
        <f t="shared" si="2"/>
        <v>0</v>
      </c>
      <c r="V25" s="19"/>
      <c r="X25" s="7" t="s">
        <v>71</v>
      </c>
      <c r="AD25" s="7" t="s">
        <v>73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75</v>
      </c>
      <c r="L26" s="100" t="s">
        <v>153</v>
      </c>
      <c r="M26" s="104" t="s">
        <v>76</v>
      </c>
      <c r="N26" s="100" t="s">
        <v>67</v>
      </c>
      <c r="O26" s="104" t="s">
        <v>77</v>
      </c>
      <c r="P26" s="100" t="s">
        <v>67</v>
      </c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73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受注番号</v>
      </c>
      <c r="S27" s="66" t="str">
        <f>_xlfn.CONCAT(L26,R27)</f>
        <v>受注受注番号</v>
      </c>
      <c r="T27" s="19" t="b">
        <f t="shared" ca="1" si="0"/>
        <v>0</v>
      </c>
      <c r="U27" s="19" t="b">
        <f t="shared" si="2"/>
        <v>0</v>
      </c>
      <c r="V27" s="19"/>
      <c r="X27" s="7" t="s">
        <v>51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49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78</v>
      </c>
      <c r="L28" s="92" t="s">
        <v>103</v>
      </c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52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84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79</v>
      </c>
      <c r="L29" s="93" t="s">
        <v>103</v>
      </c>
      <c r="M29" s="81"/>
      <c r="N29" s="81"/>
      <c r="O29" s="81"/>
      <c r="P29" s="82"/>
      <c r="R29" s="83" t="str">
        <f t="shared" ref="R29" si="10">_xlfn.CONCAT(L29:P29)</f>
        <v>受注番号</v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受注番号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受注番号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75</v>
      </c>
      <c r="L31" s="100" t="s">
        <v>158</v>
      </c>
      <c r="M31" s="104" t="s">
        <v>76</v>
      </c>
      <c r="N31" s="100"/>
      <c r="O31" s="104" t="s">
        <v>77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>商品ID</v>
      </c>
      <c r="S32" s="66" t="str">
        <f>_xlfn.CONCAT(L31,R32)</f>
        <v>商品商品ID</v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78</v>
      </c>
      <c r="L33" s="92" t="s">
        <v>117</v>
      </c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79</v>
      </c>
      <c r="L34" s="93" t="s">
        <v>117</v>
      </c>
      <c r="M34" s="81"/>
      <c r="N34" s="81"/>
      <c r="O34" s="81"/>
      <c r="P34" s="82"/>
      <c r="R34" s="83" t="str">
        <f t="shared" ref="R34" si="11">_xlfn.CONCAT(L34:P34)</f>
        <v>商品ID</v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商品ID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商品ID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75</v>
      </c>
      <c r="L36" s="100"/>
      <c r="M36" s="104" t="s">
        <v>76</v>
      </c>
      <c r="N36" s="100"/>
      <c r="O36" s="104" t="s">
        <v>77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78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79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75</v>
      </c>
      <c r="L41" s="100"/>
      <c r="M41" s="104" t="s">
        <v>76</v>
      </c>
      <c r="N41" s="100"/>
      <c r="O41" s="104" t="s">
        <v>77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78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79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75</v>
      </c>
      <c r="L46" s="100"/>
      <c r="M46" s="104" t="s">
        <v>76</v>
      </c>
      <c r="N46" s="100"/>
      <c r="O46" s="104" t="s">
        <v>77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78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79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80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74</v>
      </c>
      <c r="AD54" s="7" t="s">
        <v>49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51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52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受注番号</v>
      </c>
      <c r="AM106" s="66" t="str" cm="1">
        <f t="array" aca="1" ref="AM106" ca="1">IFERROR(INDIRECT($L$31&amp;"!R8C18",FALSE),"N/A")</f>
        <v>商品ID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/>
      </c>
      <c r="AM107" s="66" t="str" cm="1">
        <f t="array" aca="1" ref="AM107:AM116" ca="1">IFERROR(OFFSET(INDIRECT($L$31&amp;"!R13C18",FALSE),,,10,),"N/A")</f>
        <v>商品名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/>
      </c>
      <c r="AM108" s="66" t="str">
        <f ca="1"/>
        <v/>
      </c>
      <c r="AN108" s="66"/>
      <c r="AO108" s="66"/>
      <c r="AP108" s="66"/>
    </row>
    <row r="109" spans="1:42">
      <c r="AL109" s="66" t="str">
        <f ca="1"/>
        <v/>
      </c>
      <c r="AM109" s="66" t="str">
        <f ca="1"/>
        <v/>
      </c>
      <c r="AN109" s="66"/>
      <c r="AO109" s="66"/>
      <c r="AP109" s="66"/>
    </row>
    <row r="110" spans="1:42">
      <c r="AL110" s="66" t="str">
        <f ca="1"/>
        <v/>
      </c>
      <c r="AM110" s="66" t="str">
        <f ca="1"/>
        <v/>
      </c>
      <c r="AN110" s="66"/>
      <c r="AO110" s="66"/>
      <c r="AP110" s="66"/>
    </row>
    <row r="111" spans="1:42">
      <c r="AL111" s="66" t="str">
        <f ca="1"/>
        <v/>
      </c>
      <c r="AM111" s="66" t="str">
        <f ca="1"/>
        <v/>
      </c>
      <c r="AN111" s="66"/>
      <c r="AO111" s="66"/>
      <c r="AP111" s="66"/>
    </row>
    <row r="112" spans="1:42">
      <c r="AL112" s="66" t="str">
        <f ca="1"/>
        <v/>
      </c>
      <c r="AM112" s="66" t="str">
        <f ca="1"/>
        <v/>
      </c>
      <c r="AN112" s="66"/>
      <c r="AO112" s="66"/>
      <c r="AP112" s="66"/>
    </row>
    <row r="113" spans="38:42">
      <c r="AL113" s="66" t="str">
        <f ca="1"/>
        <v/>
      </c>
      <c r="AM113" s="66" t="str">
        <f ca="1"/>
        <v/>
      </c>
      <c r="AN113" s="66"/>
      <c r="AO113" s="66"/>
      <c r="AP113" s="66"/>
    </row>
    <row r="114" spans="38:42">
      <c r="AL114" s="66" t="str">
        <f ca="1"/>
        <v/>
      </c>
      <c r="AM114" s="66" t="str">
        <f ca="1"/>
        <v/>
      </c>
      <c r="AN114" s="66"/>
      <c r="AO114" s="66"/>
      <c r="AP114" s="66"/>
    </row>
    <row r="115" spans="38:42">
      <c r="AL115" s="66" t="str">
        <f ca="1"/>
        <v/>
      </c>
      <c r="AM115" s="66" t="str">
        <f ca="1"/>
        <v/>
      </c>
      <c r="AN115" s="66"/>
      <c r="AO115" s="66"/>
      <c r="AP115" s="66"/>
    </row>
    <row r="116" spans="38:42">
      <c r="AL116" s="66" t="str">
        <f ca="1"/>
        <v/>
      </c>
      <c r="AM116" s="66" t="str">
        <f ca="1"/>
        <v/>
      </c>
      <c r="AN116" s="66"/>
      <c r="AO116" s="66"/>
      <c r="AP116" s="66"/>
    </row>
  </sheetData>
  <phoneticPr fontId="2"/>
  <conditionalFormatting sqref="B2:C2">
    <cfRule type="expression" dxfId="120" priority="24">
      <formula>ISERROR(B2)</formula>
    </cfRule>
  </conditionalFormatting>
  <conditionalFormatting sqref="B6:B105">
    <cfRule type="expression" dxfId="119" priority="22">
      <formula>COUNTIF(FIELD_NAME,B6)&gt;1</formula>
    </cfRule>
    <cfRule type="expression" dxfId="118" priority="23">
      <formula>AND($B6&lt;&gt;"",ISNA(MATCH($B6,項目リスト,0)))</formula>
    </cfRule>
  </conditionalFormatting>
  <conditionalFormatting sqref="B6">
    <cfRule type="expression" dxfId="117" priority="21">
      <formula>$AI$6="N/A"</formula>
    </cfRule>
  </conditionalFormatting>
  <conditionalFormatting sqref="D1">
    <cfRule type="cellIs" dxfId="116" priority="20" operator="greaterThan">
      <formula>0</formula>
    </cfRule>
  </conditionalFormatting>
  <conditionalFormatting sqref="L8:P8">
    <cfRule type="expression" dxfId="115" priority="26">
      <formula>Y8</formula>
    </cfRule>
    <cfRule type="expression" dxfId="114" priority="27">
      <formula>Y7</formula>
    </cfRule>
  </conditionalFormatting>
  <conditionalFormatting sqref="L13:P22">
    <cfRule type="expression" dxfId="113" priority="18">
      <formula>Y13</formula>
    </cfRule>
    <cfRule type="expression" dxfId="112" priority="19">
      <formula>$AD13</formula>
    </cfRule>
  </conditionalFormatting>
  <conditionalFormatting sqref="L8">
    <cfRule type="expression" dxfId="111" priority="25">
      <formula>$AG$7</formula>
    </cfRule>
  </conditionalFormatting>
  <conditionalFormatting sqref="L55:P64">
    <cfRule type="expression" dxfId="110" priority="16">
      <formula>Y55</formula>
    </cfRule>
    <cfRule type="expression" dxfId="109" priority="17">
      <formula>$AD55</formula>
    </cfRule>
  </conditionalFormatting>
  <conditionalFormatting sqref="L43:P44">
    <cfRule type="expression" dxfId="108" priority="15">
      <formula>Y42</formula>
    </cfRule>
  </conditionalFormatting>
  <conditionalFormatting sqref="L43:P43">
    <cfRule type="expression" dxfId="107" priority="13">
      <formula>$AD42</formula>
    </cfRule>
    <cfRule type="expression" dxfId="106" priority="29">
      <formula>Y41</formula>
    </cfRule>
  </conditionalFormatting>
  <conditionalFormatting sqref="L43">
    <cfRule type="expression" dxfId="105" priority="14">
      <formula>$AD41</formula>
    </cfRule>
  </conditionalFormatting>
  <conditionalFormatting sqref="L28:P29 L33:P34 L38:P39 L48:P49 L43:P44">
    <cfRule type="expression" dxfId="104" priority="30">
      <formula>Y27</formula>
    </cfRule>
  </conditionalFormatting>
  <conditionalFormatting sqref="L29:P29 L34:P34 L39:P39 L49:P49">
    <cfRule type="expression" dxfId="103" priority="31">
      <formula>$AD27</formula>
    </cfRule>
    <cfRule type="expression" dxfId="102" priority="32">
      <formula>Y26</formula>
    </cfRule>
  </conditionalFormatting>
  <conditionalFormatting sqref="L28 L33 L38 L48 L43">
    <cfRule type="expression" dxfId="101" priority="33">
      <formula>$AD26</formula>
    </cfRule>
  </conditionalFormatting>
  <conditionalFormatting sqref="L44:P44">
    <cfRule type="expression" dxfId="100" priority="34">
      <formula>$AD42</formula>
    </cfRule>
    <cfRule type="expression" dxfId="99" priority="35">
      <formula>Y41</formula>
    </cfRule>
  </conditionalFormatting>
  <conditionalFormatting sqref="L28:P28 L33:P33 L38:P38 L43:P43 L48:P48">
    <cfRule type="expression" dxfId="98" priority="12">
      <formula>$AD27</formula>
    </cfRule>
    <cfRule type="expression" dxfId="97" priority="28">
      <formula>Y26</formula>
    </cfRule>
  </conditionalFormatting>
  <conditionalFormatting sqref="K56">
    <cfRule type="expression" dxfId="96" priority="10">
      <formula>X56</formula>
    </cfRule>
    <cfRule type="expression" dxfId="95" priority="11">
      <formula>$AD56</formula>
    </cfRule>
  </conditionalFormatting>
  <conditionalFormatting sqref="K58">
    <cfRule type="expression" dxfId="94" priority="8">
      <formula>X58</formula>
    </cfRule>
    <cfRule type="expression" dxfId="93" priority="9">
      <formula>$AD58</formula>
    </cfRule>
  </conditionalFormatting>
  <conditionalFormatting sqref="K60">
    <cfRule type="expression" dxfId="92" priority="6">
      <formula>X60</formula>
    </cfRule>
    <cfRule type="expression" dxfId="91" priority="7">
      <formula>$AD60</formula>
    </cfRule>
  </conditionalFormatting>
  <conditionalFormatting sqref="K62">
    <cfRule type="expression" dxfId="90" priority="4">
      <formula>X62</formula>
    </cfRule>
    <cfRule type="expression" dxfId="89" priority="5">
      <formula>$AD62</formula>
    </cfRule>
  </conditionalFormatting>
  <conditionalFormatting sqref="K64">
    <cfRule type="expression" dxfId="88" priority="2">
      <formula>X64</formula>
    </cfRule>
    <cfRule type="expression" dxfId="87" priority="3">
      <formula>$AD64</formula>
    </cfRule>
  </conditionalFormatting>
  <conditionalFormatting sqref="L29:P29 L34:P34 L39:P39 L44:P44 L49:P49">
    <cfRule type="expression" dxfId="86" priority="1">
      <formula>$AD28</formula>
    </cfRule>
  </conditionalFormatting>
  <conditionalFormatting sqref="E6">
    <cfRule type="expression" dxfId="85" priority="36" stopIfTrue="1">
      <formula>RC22</formula>
    </cfRule>
  </conditionalFormatting>
  <conditionalFormatting sqref="E7">
    <cfRule type="expression" dxfId="84" priority="37" stopIfTrue="1">
      <formula>RC22</formula>
    </cfRule>
  </conditionalFormatting>
  <conditionalFormatting sqref="E8">
    <cfRule type="expression" dxfId="83" priority="38" stopIfTrue="1">
      <formula>RC22</formula>
    </cfRule>
  </conditionalFormatting>
  <conditionalFormatting sqref="E9">
    <cfRule type="expression" dxfId="82" priority="39" stopIfTrue="1">
      <formula>RC22</formula>
    </cfRule>
  </conditionalFormatting>
  <conditionalFormatting sqref="E10">
    <cfRule type="expression" dxfId="81" priority="40" stopIfTrue="1">
      <formula>RC22</formula>
    </cfRule>
  </conditionalFormatting>
  <conditionalFormatting sqref="E11">
    <cfRule type="expression" dxfId="80" priority="41" stopIfTrue="1">
      <formula>RC22</formula>
    </cfRule>
  </conditionalFormatting>
  <conditionalFormatting sqref="E12">
    <cfRule type="expression" dxfId="79" priority="42" stopIfTrue="1">
      <formula>RC22</formula>
    </cfRule>
  </conditionalFormatting>
  <conditionalFormatting sqref="E13">
    <cfRule type="expression" dxfId="78" priority="43" stopIfTrue="1">
      <formula>RC22</formula>
    </cfRule>
  </conditionalFormatting>
  <conditionalFormatting sqref="E14">
    <cfRule type="expression" dxfId="77" priority="44" stopIfTrue="1">
      <formula>RC22</formula>
    </cfRule>
  </conditionalFormatting>
  <dataValidations count="16">
    <dataValidation imeMode="off" allowBlank="1" showInputMessage="1" showErrorMessage="1" sqref="D5:F5 C2 F6:F105" xr:uid="{8E766085-9A7B-479B-BC9C-803D23FD6E02}"/>
    <dataValidation type="whole" imeMode="off" operator="equal" allowBlank="1" showInputMessage="1" showErrorMessage="1" error="DESC指定の場合に‐1を入力" sqref="L56:P56 L58:P58 L60:P60 L62:P62 L64:P64" xr:uid="{F7347B6C-32DB-4EC6-A35F-56E6FB1BBE30}">
      <formula1>-1</formula1>
    </dataValidation>
    <dataValidation type="whole" imeMode="off" operator="equal" allowBlank="1" showInputMessage="1" showErrorMessage="1" error="Unique indexの場合に1を入力" sqref="K56 K58 K60 K62 K64" xr:uid="{8CB8FCB9-61AC-4191-B9EC-6E119E61C0FA}">
      <formula1>1</formula1>
    </dataValidation>
    <dataValidation type="list" allowBlank="1" showInputMessage="1" showErrorMessage="1" sqref="N26 P26 N31 P31 N36 P36 N41 P41 N46 P46" xr:uid="{FA09DFD8-2165-4170-9923-A82FFF28B1AA}">
      <formula1>FK_OPTION</formula1>
    </dataValidation>
    <dataValidation type="list" allowBlank="1" showInputMessage="1" showErrorMessage="1" sqref="L49:P49" xr:uid="{ABE8F5A7-271E-4CA1-8E21-598E0DFD77FA}">
      <formula1>FK_FIELD_5</formula1>
    </dataValidation>
    <dataValidation type="list" allowBlank="1" showInputMessage="1" showErrorMessage="1" sqref="L44:P44" xr:uid="{75C265AD-86F4-4AC4-A221-40D55BD61A0D}">
      <formula1>FK_FIELD_4</formula1>
    </dataValidation>
    <dataValidation type="list" allowBlank="1" showInputMessage="1" showErrorMessage="1" sqref="L39:P39" xr:uid="{BB3A12B4-DB3A-44F4-B7E0-E7CE5A378006}">
      <formula1>FK_FIELD_3</formula1>
    </dataValidation>
    <dataValidation type="list" allowBlank="1" showInputMessage="1" showErrorMessage="1" sqref="L34:P34" xr:uid="{5A0AAE02-0CF0-4FAE-9B1C-CAE6BE4CBC4A}">
      <formula1>FK_FIELD_2</formula1>
    </dataValidation>
    <dataValidation type="list" allowBlank="1" showInputMessage="1" showErrorMessage="1" sqref="L29:P29" xr:uid="{E8335C9F-E82B-46DE-9ABB-FB96B11C56E8}">
      <formula1>FK_FIELD_1</formula1>
    </dataValidation>
    <dataValidation type="list" allowBlank="1" showInputMessage="1" showErrorMessage="1" sqref="L26 L31 L36 L41 L46" xr:uid="{BCFED6D5-6538-472F-8D6B-480647CF5A16}">
      <formula1>TABLEリスト</formula1>
    </dataValidation>
    <dataValidation type="list" allowBlank="1" showInputMessage="1" showErrorMessage="1" sqref="F2" xr:uid="{E191680B-709C-4DEE-867F-325B53B26FF1}">
      <formula1>"○,-"</formula1>
    </dataValidation>
    <dataValidation type="list" allowBlank="1" showInputMessage="1" showErrorMessage="1" sqref="L13:P22 L43:P43 L48:P48 L33:P33 L38:P38 L28:P28 L55:P55 L57:P57 L59:P59 L61:P61 L63:P63" xr:uid="{5B093E70-1176-49AC-B193-4051CEE9D180}">
      <formula1>FIELDリスト</formula1>
    </dataValidation>
    <dataValidation type="list" allowBlank="1" showInputMessage="1" showErrorMessage="1" sqref="L8:P8" xr:uid="{FCA9648D-2B44-4404-BACD-F73A072ECB4C}">
      <formula1>FIELDリストNN</formula1>
    </dataValidation>
    <dataValidation type="whole" imeMode="off" operator="equal" allowBlank="1" showInputMessage="1" showErrorMessage="1" error="NotNullの場合は[1]を入力する。" sqref="E6:E105" xr:uid="{4B5D2AD7-4CDF-4870-8943-9C6519F9603A}">
      <formula1>1</formula1>
    </dataValidation>
    <dataValidation type="list" allowBlank="1" showInputMessage="1" showErrorMessage="1" sqref="B6:B105" xr:uid="{F6E1A5CD-A0D3-465A-95DE-6EB2C94CFACE}">
      <formula1>項目リスト</formula1>
    </dataValidation>
    <dataValidation imeMode="on" allowBlank="1" showInputMessage="1" showErrorMessage="1" sqref="K12 A5 A1:A2 E2 K7 K54 G6:H105" xr:uid="{E2A30716-A42F-4831-9A73-73FD629460EF}"/>
  </dataValidations>
  <hyperlinks>
    <hyperlink ref="E1" location="一覧!R1C1" display="一覧へ" xr:uid="{1979F6EA-5FE1-4668-8B52-E2C1A2F2B3E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580B5-1920-4579-A895-3A5041188B7A}">
  <sheetPr codeName="template3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受注</v>
      </c>
      <c r="C1" s="20" t="str">
        <f>SCHEMA_EN</f>
        <v>orders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商品</v>
      </c>
      <c r="C2" s="20" t="str" cm="1">
        <f t="array" ref="C2">INDEX(一覧!DATA_AREA,TABLE_NO,3)</f>
        <v>products</v>
      </c>
      <c r="D2" s="91">
        <v>3</v>
      </c>
      <c r="E2" s="85" t="s">
        <v>54</v>
      </c>
      <c r="F2" s="86" t="s">
        <v>179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100</v>
      </c>
      <c r="AI3" s="7" t="s">
        <v>58</v>
      </c>
      <c r="AQ3" s="114" t="str">
        <f ca="1">IF(AG3,AH3,AQ4)</f>
        <v/>
      </c>
    </row>
    <row r="4" spans="1:43" ht="20">
      <c r="A4" s="10" t="s">
        <v>35</v>
      </c>
      <c r="E4" s="112" t="s">
        <v>83</v>
      </c>
      <c r="K4" s="10" t="s">
        <v>36</v>
      </c>
      <c r="T4" s="65" t="s">
        <v>46</v>
      </c>
      <c r="AF4" s="7" t="s">
        <v>18</v>
      </c>
      <c r="AG4" s="7" t="b">
        <f ca="1">OR(T6:T105)</f>
        <v>0</v>
      </c>
      <c r="AH4" s="7" t="s">
        <v>97</v>
      </c>
      <c r="AI4" s="96" t="s">
        <v>64</v>
      </c>
      <c r="AJ4" s="96" t="s">
        <v>65</v>
      </c>
      <c r="AK4" s="96" t="s">
        <v>7</v>
      </c>
      <c r="AL4" s="96" t="s">
        <v>59</v>
      </c>
      <c r="AM4" s="96" t="s">
        <v>60</v>
      </c>
      <c r="AN4" s="96" t="s">
        <v>61</v>
      </c>
      <c r="AO4" s="96" t="s">
        <v>62</v>
      </c>
      <c r="AP4" s="96" t="s">
        <v>63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98</v>
      </c>
      <c r="AI5" s="56">
        <f>COUNTA(AI6:AI105)</f>
        <v>5</v>
      </c>
      <c r="AJ5" s="66">
        <f>COUNTA(AJ6:AJ105)</f>
        <v>5</v>
      </c>
      <c r="AK5" s="95">
        <f>COUNTA(AK6:AK105)</f>
        <v>3</v>
      </c>
      <c r="AL5" s="83" cm="1">
        <f t="array" aca="1" ref="AL5" ca="1">IFERROR(INDIRECT($L$26&amp;"!R5C35",FALSE),1)</f>
        <v>2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117</v>
      </c>
      <c r="C6" s="34" t="str">
        <f ca="1">IFERROR(VLOOKUP(B6,項目!DATA_AREA,2,FALSE),"")</f>
        <v>product_id</v>
      </c>
      <c r="D6" s="34" t="str">
        <f ca="1">IFERROR(VLOOKUP(B6,項目!DATA_AREA,3,FALSE),"")</f>
        <v>varchar(5)</v>
      </c>
      <c r="E6" s="47">
        <v>1</v>
      </c>
      <c r="F6" s="116" t="s">
        <v>180</v>
      </c>
      <c r="G6" s="37" t="str">
        <f ca="1">IFERROR(VLOOKUP(B6,項目!DATA_AREA,4,FALSE),"")</f>
        <v>(product_id ~* '^P[0-9]{4}$')</v>
      </c>
      <c r="H6" s="11" t="b">
        <f ca="1">IFERROR(VLOOKUP(B6,項目!DATA_AREA,5,FALSE),"")</f>
        <v>0</v>
      </c>
      <c r="K6" s="50" t="s">
        <v>57</v>
      </c>
      <c r="L6" s="112" t="s">
        <v>81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47</v>
      </c>
      <c r="AF6" s="7" t="s">
        <v>21</v>
      </c>
      <c r="AG6" s="119" t="b">
        <v>0</v>
      </c>
      <c r="AH6" s="7" t="s">
        <v>99</v>
      </c>
      <c r="AI6" s="56" t="s">
        <v>159</v>
      </c>
      <c r="AJ6" s="66" t="s">
        <v>159</v>
      </c>
      <c r="AK6" s="95" t="s">
        <v>157</v>
      </c>
      <c r="AL6" s="83" t="str" cm="1">
        <f t="array" aca="1" ref="AL6:AL7" ca="1">IFERROR(OFFSET(INDIRECT($L$26&amp;"!R6C35",FALSE),,,AL5,),"N/A")</f>
        <v>担当者ID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121</v>
      </c>
      <c r="C7" s="35" t="str">
        <f ca="1">IFERROR(VLOOKUP(B7,項目!DATA_AREA,2,FALSE),"")</f>
        <v>product_name</v>
      </c>
      <c r="D7" s="35" t="str">
        <f ca="1">IFERROR(VLOOKUP(B7,項目!DATA_AREA,3,FALSE),"")</f>
        <v>varchar(30)</v>
      </c>
      <c r="E7" s="48">
        <v>1</v>
      </c>
      <c r="F7" s="117" t="s">
        <v>180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90</v>
      </c>
      <c r="AI7" s="56" t="s">
        <v>121</v>
      </c>
      <c r="AJ7" s="66" t="s">
        <v>121</v>
      </c>
      <c r="AK7" s="95" t="s">
        <v>155</v>
      </c>
      <c r="AL7" s="83" t="str">
        <f ca="1"/>
        <v>担当者名</v>
      </c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135</v>
      </c>
      <c r="C8" s="35" t="str">
        <f ca="1">IFERROR(VLOOKUP(B8,項目!DATA_AREA,2,FALSE),"")</f>
        <v>cost_price</v>
      </c>
      <c r="D8" s="35" t="str">
        <f ca="1">IFERROR(VLOOKUP(B8,項目!DATA_AREA,3,FALSE),"")</f>
        <v>integer</v>
      </c>
      <c r="E8" s="48">
        <v>1</v>
      </c>
      <c r="F8" s="117" t="s">
        <v>182</v>
      </c>
      <c r="G8" s="38" t="str">
        <f ca="1">IFERROR(VLOOKUP(B8,項目!DATA_AREA,4,FALSE),"")</f>
        <v>(0 &lt;= cost_price AND cost_price &lt;= 9999999)</v>
      </c>
      <c r="H8" s="12" t="b">
        <f ca="1">IFERROR(VLOOKUP(B8,項目!DATA_AREA,5,FALSE),"")</f>
        <v>0</v>
      </c>
      <c r="K8" s="67" t="s">
        <v>13</v>
      </c>
      <c r="L8" s="68" t="s">
        <v>117</v>
      </c>
      <c r="M8" s="69"/>
      <c r="N8" s="69"/>
      <c r="O8" s="69"/>
      <c r="P8" s="70"/>
      <c r="R8" s="83" t="str">
        <f>_xlfn.CONCAT(L8:P8)</f>
        <v>商品ID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96</v>
      </c>
      <c r="AI8" s="56" t="s">
        <v>135</v>
      </c>
      <c r="AJ8" s="66" t="s">
        <v>135</v>
      </c>
      <c r="AK8" s="95" t="s">
        <v>186</v>
      </c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175</v>
      </c>
      <c r="C9" s="35" t="str">
        <f ca="1">IFERROR(VLOOKUP(B9,項目!DATA_AREA,2,FALSE),"")</f>
        <v>product_pic</v>
      </c>
      <c r="D9" s="35" t="str">
        <f ca="1">IFERROR(VLOOKUP(B9,項目!DATA_AREA,3,FALSE),"")</f>
        <v>varchar(5)</v>
      </c>
      <c r="E9" s="48">
        <v>1</v>
      </c>
      <c r="F9" s="117" t="s">
        <v>180</v>
      </c>
      <c r="G9" s="38" t="str">
        <f ca="1">IFERROR(VLOOKUP(B9,項目!DATA_AREA,4,FALSE),"")</f>
        <v>(product_pic ~* '^U[0-9]{4}$')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91</v>
      </c>
      <c r="AI9" s="56" t="s">
        <v>175</v>
      </c>
      <c r="AJ9" s="66" t="s">
        <v>175</v>
      </c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167</v>
      </c>
      <c r="C10" s="35" t="str">
        <f ca="1">IFERROR(VLOOKUP(B10,項目!DATA_AREA,2,FALSE),"")</f>
        <v>product_status</v>
      </c>
      <c r="D10" s="35" t="str">
        <f ca="1">IFERROR(VLOOKUP(B10,項目!DATA_AREA,3,FALSE),"")</f>
        <v>product_status</v>
      </c>
      <c r="E10" s="48">
        <v>1</v>
      </c>
      <c r="F10" s="117" t="s">
        <v>183</v>
      </c>
      <c r="G10" s="38">
        <f ca="1">IFERROR(VLOOKUP(B10,項目!DATA_AREA,4,FALSE),"")</f>
        <v>0</v>
      </c>
      <c r="H10" s="12" t="b">
        <f ca="1">IFERROR(VLOOKUP(B10,項目!DATA_AREA,5,FALSE),"")</f>
        <v>1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50</v>
      </c>
      <c r="AG10" s="7" t="b">
        <f ca="1">OR($Y$13:$AC$22)</f>
        <v>0</v>
      </c>
      <c r="AH10" s="7" t="s">
        <v>95</v>
      </c>
      <c r="AI10" s="56" t="s">
        <v>167</v>
      </c>
      <c r="AJ10" s="66" t="s">
        <v>167</v>
      </c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49</v>
      </c>
      <c r="AG11" s="7" t="b">
        <f>OR($AD$13:$AD$22)</f>
        <v>0</v>
      </c>
      <c r="AH11" s="7" t="s">
        <v>89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48</v>
      </c>
      <c r="AD12" s="7" t="s">
        <v>49</v>
      </c>
      <c r="AE12" s="7" t="s">
        <v>72</v>
      </c>
      <c r="AF12" s="7" t="s">
        <v>71</v>
      </c>
      <c r="AG12" s="7" t="b">
        <f ca="1">OR($Y$26:$AC$26,$Y$31:$AC$31,$Y$36:$AC$36,$Y$41:$AC$41,$Y$46:$AC$46)</f>
        <v>0</v>
      </c>
      <c r="AH12" s="7" t="s">
        <v>86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 t="s">
        <v>121</v>
      </c>
      <c r="M13" s="73"/>
      <c r="N13" s="73"/>
      <c r="O13" s="73"/>
      <c r="P13" s="74"/>
      <c r="R13" s="83" t="str">
        <f>_xlfn.CONCAT(L13:P13)</f>
        <v>商品名</v>
      </c>
      <c r="T13" s="19" t="b">
        <f t="shared" ca="1" si="0"/>
        <v>0</v>
      </c>
      <c r="U13" s="19" t="b">
        <f t="shared" si="2"/>
        <v>0</v>
      </c>
      <c r="V13" s="19"/>
      <c r="X13" s="7" t="s">
        <v>51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50</v>
      </c>
      <c r="AG13" s="7" t="b">
        <f ca="1">OR($Y$27:$AC$28,$Y$32:$AC$33,$Y$37:$AC$38,$Y$42:$AC$43,$Y$47:$AC$48)</f>
        <v>0</v>
      </c>
      <c r="AH13" s="7" t="s">
        <v>92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52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73</v>
      </c>
      <c r="AG14" s="7" t="b">
        <f>OR($AD$26,$AD$31,$AD$36,$AD$41,$AD$46)</f>
        <v>0</v>
      </c>
      <c r="AH14" s="7" t="s">
        <v>94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49</v>
      </c>
      <c r="AG15" s="7" t="b">
        <f>OR($AD$27,$AD$32,$AD$37,$AD$42,$AD$47)</f>
        <v>0</v>
      </c>
      <c r="AH15" s="7" t="s">
        <v>87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84</v>
      </c>
      <c r="AG16" s="7" t="b">
        <f ca="1">OR($AD$28,$AD$33,$AD$38,$AD$43,$AD$48)</f>
        <v>0</v>
      </c>
      <c r="AH16" s="7" t="s">
        <v>88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50</v>
      </c>
      <c r="AG17" s="7" t="b">
        <f ca="1">OR($Y$55:$AC$64)</f>
        <v>0</v>
      </c>
      <c r="AH17" s="7" t="s">
        <v>93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49</v>
      </c>
      <c r="AG18" s="7" t="b">
        <f>OR($AD$55:$AD$64)</f>
        <v>0</v>
      </c>
      <c r="AH18" s="7" t="s">
        <v>85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70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56</v>
      </c>
      <c r="L25" s="112" t="s">
        <v>82</v>
      </c>
      <c r="T25" s="19" t="b">
        <f t="shared" ca="1" si="0"/>
        <v>0</v>
      </c>
      <c r="U25" s="19" t="b">
        <f t="shared" si="2"/>
        <v>0</v>
      </c>
      <c r="V25" s="19"/>
      <c r="X25" s="7" t="s">
        <v>71</v>
      </c>
      <c r="AD25" s="7" t="s">
        <v>73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75</v>
      </c>
      <c r="L26" s="100" t="s">
        <v>186</v>
      </c>
      <c r="M26" s="104" t="s">
        <v>76</v>
      </c>
      <c r="N26" s="100"/>
      <c r="O26" s="104" t="s">
        <v>77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73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商品管理者ID</v>
      </c>
      <c r="S27" s="66" t="str">
        <f>_xlfn.CONCAT(L26,R27)</f>
        <v>担当者商品管理者ID</v>
      </c>
      <c r="T27" s="19" t="b">
        <f t="shared" ca="1" si="0"/>
        <v>0</v>
      </c>
      <c r="U27" s="19" t="b">
        <f t="shared" si="2"/>
        <v>0</v>
      </c>
      <c r="V27" s="19"/>
      <c r="X27" s="7" t="s">
        <v>51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49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78</v>
      </c>
      <c r="L28" s="92" t="s">
        <v>175</v>
      </c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52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84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79</v>
      </c>
      <c r="L29" s="93" t="s">
        <v>170</v>
      </c>
      <c r="M29" s="81"/>
      <c r="N29" s="81"/>
      <c r="O29" s="81"/>
      <c r="P29" s="82"/>
      <c r="R29" s="83" t="str">
        <f t="shared" ref="R29" si="10">_xlfn.CONCAT(L29:P29)</f>
        <v>担当者ID</v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担当者ID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担当者ID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75</v>
      </c>
      <c r="L31" s="100"/>
      <c r="M31" s="104" t="s">
        <v>76</v>
      </c>
      <c r="N31" s="100"/>
      <c r="O31" s="104" t="s">
        <v>77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78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79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75</v>
      </c>
      <c r="L36" s="100"/>
      <c r="M36" s="104" t="s">
        <v>76</v>
      </c>
      <c r="N36" s="100"/>
      <c r="O36" s="104" t="s">
        <v>77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78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79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75</v>
      </c>
      <c r="L41" s="100"/>
      <c r="M41" s="104" t="s">
        <v>76</v>
      </c>
      <c r="N41" s="100"/>
      <c r="O41" s="104" t="s">
        <v>77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78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79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75</v>
      </c>
      <c r="L46" s="100"/>
      <c r="M46" s="104" t="s">
        <v>76</v>
      </c>
      <c r="N46" s="100"/>
      <c r="O46" s="104" t="s">
        <v>77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78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79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80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74</v>
      </c>
      <c r="AD54" s="7" t="s">
        <v>49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51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52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担当者ID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/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/>
      </c>
      <c r="AM108" s="66"/>
      <c r="AN108" s="66"/>
      <c r="AO108" s="66"/>
      <c r="AP108" s="66"/>
    </row>
    <row r="109" spans="1:42">
      <c r="AL109" s="66" t="str">
        <f ca="1"/>
        <v/>
      </c>
      <c r="AM109" s="66"/>
      <c r="AN109" s="66"/>
      <c r="AO109" s="66"/>
      <c r="AP109" s="66"/>
    </row>
    <row r="110" spans="1:42">
      <c r="AL110" s="66" t="str">
        <f ca="1"/>
        <v/>
      </c>
      <c r="AM110" s="66"/>
      <c r="AN110" s="66"/>
      <c r="AO110" s="66"/>
      <c r="AP110" s="66"/>
    </row>
    <row r="111" spans="1:42">
      <c r="AL111" s="66" t="str">
        <f ca="1"/>
        <v/>
      </c>
      <c r="AM111" s="66"/>
      <c r="AN111" s="66"/>
      <c r="AO111" s="66"/>
      <c r="AP111" s="66"/>
    </row>
    <row r="112" spans="1:42">
      <c r="AL112" s="66" t="str">
        <f ca="1"/>
        <v/>
      </c>
      <c r="AM112" s="66"/>
      <c r="AN112" s="66"/>
      <c r="AO112" s="66"/>
      <c r="AP112" s="66"/>
    </row>
    <row r="113" spans="38:42">
      <c r="AL113" s="66" t="str">
        <f ca="1"/>
        <v/>
      </c>
      <c r="AM113" s="66"/>
      <c r="AN113" s="66"/>
      <c r="AO113" s="66"/>
      <c r="AP113" s="66"/>
    </row>
    <row r="114" spans="38:42">
      <c r="AL114" s="66" t="str">
        <f ca="1"/>
        <v/>
      </c>
      <c r="AM114" s="66"/>
      <c r="AN114" s="66"/>
      <c r="AO114" s="66"/>
      <c r="AP114" s="66"/>
    </row>
    <row r="115" spans="38:42">
      <c r="AL115" s="66" t="str">
        <f ca="1"/>
        <v/>
      </c>
      <c r="AM115" s="66"/>
      <c r="AN115" s="66"/>
      <c r="AO115" s="66"/>
      <c r="AP115" s="66"/>
    </row>
    <row r="116" spans="38:42">
      <c r="AL116" s="66" t="str">
        <f ca="1"/>
        <v/>
      </c>
      <c r="AM116" s="66"/>
      <c r="AN116" s="66"/>
      <c r="AO116" s="66"/>
      <c r="AP116" s="66"/>
    </row>
  </sheetData>
  <phoneticPr fontId="2"/>
  <conditionalFormatting sqref="B2:C2">
    <cfRule type="expression" dxfId="76" priority="24">
      <formula>ISERROR(B2)</formula>
    </cfRule>
  </conditionalFormatting>
  <conditionalFormatting sqref="B6:B105">
    <cfRule type="expression" dxfId="75" priority="22">
      <formula>COUNTIF(FIELD_NAME,B6)&gt;1</formula>
    </cfRule>
    <cfRule type="expression" dxfId="74" priority="23">
      <formula>AND($B6&lt;&gt;"",ISNA(MATCH($B6,項目リスト,0)))</formula>
    </cfRule>
  </conditionalFormatting>
  <conditionalFormatting sqref="B6">
    <cfRule type="expression" dxfId="73" priority="21">
      <formula>$AI$6="N/A"</formula>
    </cfRule>
  </conditionalFormatting>
  <conditionalFormatting sqref="D1">
    <cfRule type="cellIs" dxfId="72" priority="20" operator="greaterThan">
      <formula>0</formula>
    </cfRule>
  </conditionalFormatting>
  <conditionalFormatting sqref="L8:P8">
    <cfRule type="expression" dxfId="71" priority="26">
      <formula>Y8</formula>
    </cfRule>
    <cfRule type="expression" dxfId="70" priority="27">
      <formula>Y7</formula>
    </cfRule>
  </conditionalFormatting>
  <conditionalFormatting sqref="L13:P22">
    <cfRule type="expression" dxfId="69" priority="18">
      <formula>Y13</formula>
    </cfRule>
    <cfRule type="expression" dxfId="68" priority="19">
      <formula>$AD13</formula>
    </cfRule>
  </conditionalFormatting>
  <conditionalFormatting sqref="L8">
    <cfRule type="expression" dxfId="67" priority="25">
      <formula>$AG$7</formula>
    </cfRule>
  </conditionalFormatting>
  <conditionalFormatting sqref="L55:P64">
    <cfRule type="expression" dxfId="66" priority="16">
      <formula>Y55</formula>
    </cfRule>
    <cfRule type="expression" dxfId="65" priority="17">
      <formula>$AD55</formula>
    </cfRule>
  </conditionalFormatting>
  <conditionalFormatting sqref="L43:P44">
    <cfRule type="expression" dxfId="64" priority="15">
      <formula>Y42</formula>
    </cfRule>
  </conditionalFormatting>
  <conditionalFormatting sqref="L43:P43">
    <cfRule type="expression" dxfId="63" priority="13">
      <formula>$AD42</formula>
    </cfRule>
    <cfRule type="expression" dxfId="62" priority="29">
      <formula>Y41</formula>
    </cfRule>
  </conditionalFormatting>
  <conditionalFormatting sqref="L43">
    <cfRule type="expression" dxfId="61" priority="14">
      <formula>$AD41</formula>
    </cfRule>
  </conditionalFormatting>
  <conditionalFormatting sqref="L28:P29 L33:P34 L38:P39 L48:P49 L43:P44">
    <cfRule type="expression" dxfId="60" priority="30">
      <formula>Y27</formula>
    </cfRule>
  </conditionalFormatting>
  <conditionalFormatting sqref="L29:P29 L34:P34 L39:P39 L49:P49">
    <cfRule type="expression" dxfId="59" priority="31">
      <formula>$AD27</formula>
    </cfRule>
    <cfRule type="expression" dxfId="58" priority="32">
      <formula>Y26</formula>
    </cfRule>
  </conditionalFormatting>
  <conditionalFormatting sqref="L28 L33 L38 L48 L43">
    <cfRule type="expression" dxfId="57" priority="33">
      <formula>$AD26</formula>
    </cfRule>
  </conditionalFormatting>
  <conditionalFormatting sqref="L44:P44">
    <cfRule type="expression" dxfId="56" priority="34">
      <formula>$AD42</formula>
    </cfRule>
    <cfRule type="expression" dxfId="55" priority="35">
      <formula>Y41</formula>
    </cfRule>
  </conditionalFormatting>
  <conditionalFormatting sqref="L28:P28 L33:P33 L38:P38 L43:P43 L48:P48">
    <cfRule type="expression" dxfId="54" priority="12">
      <formula>$AD27</formula>
    </cfRule>
    <cfRule type="expression" dxfId="53" priority="28">
      <formula>Y26</formula>
    </cfRule>
  </conditionalFormatting>
  <conditionalFormatting sqref="K56">
    <cfRule type="expression" dxfId="52" priority="10">
      <formula>X56</formula>
    </cfRule>
    <cfRule type="expression" dxfId="51" priority="11">
      <formula>$AD56</formula>
    </cfRule>
  </conditionalFormatting>
  <conditionalFormatting sqref="K58">
    <cfRule type="expression" dxfId="50" priority="8">
      <formula>X58</formula>
    </cfRule>
    <cfRule type="expression" dxfId="49" priority="9">
      <formula>$AD58</formula>
    </cfRule>
  </conditionalFormatting>
  <conditionalFormatting sqref="K60">
    <cfRule type="expression" dxfId="48" priority="6">
      <formula>X60</formula>
    </cfRule>
    <cfRule type="expression" dxfId="47" priority="7">
      <formula>$AD60</formula>
    </cfRule>
  </conditionalFormatting>
  <conditionalFormatting sqref="K62">
    <cfRule type="expression" dxfId="46" priority="4">
      <formula>X62</formula>
    </cfRule>
    <cfRule type="expression" dxfId="45" priority="5">
      <formula>$AD62</formula>
    </cfRule>
  </conditionalFormatting>
  <conditionalFormatting sqref="K64">
    <cfRule type="expression" dxfId="44" priority="2">
      <formula>X64</formula>
    </cfRule>
    <cfRule type="expression" dxfId="43" priority="3">
      <formula>$AD64</formula>
    </cfRule>
  </conditionalFormatting>
  <conditionalFormatting sqref="L29:P29 L34:P34 L39:P39 L44:P44 L49:P49">
    <cfRule type="expression" dxfId="42" priority="1">
      <formula>$AD28</formula>
    </cfRule>
  </conditionalFormatting>
  <conditionalFormatting sqref="E6">
    <cfRule type="expression" dxfId="41" priority="36" stopIfTrue="1">
      <formula>RC22</formula>
    </cfRule>
  </conditionalFormatting>
  <conditionalFormatting sqref="E7">
    <cfRule type="expression" dxfId="40" priority="37" stopIfTrue="1">
      <formula>RC22</formula>
    </cfRule>
  </conditionalFormatting>
  <conditionalFormatting sqref="E8">
    <cfRule type="expression" dxfId="39" priority="38" stopIfTrue="1">
      <formula>RC22</formula>
    </cfRule>
  </conditionalFormatting>
  <conditionalFormatting sqref="E9">
    <cfRule type="expression" dxfId="38" priority="39" stopIfTrue="1">
      <formula>RC22</formula>
    </cfRule>
  </conditionalFormatting>
  <conditionalFormatting sqref="E10">
    <cfRule type="expression" dxfId="37" priority="40" stopIfTrue="1">
      <formula>RC22</formula>
    </cfRule>
  </conditionalFormatting>
  <dataValidations count="16">
    <dataValidation imeMode="off" allowBlank="1" showInputMessage="1" showErrorMessage="1" sqref="D5:F5 C2 F6:F105" xr:uid="{CA9B5F01-0813-42BC-A340-0605C7573041}"/>
    <dataValidation type="whole" imeMode="off" operator="equal" allowBlank="1" showInputMessage="1" showErrorMessage="1" error="DESC指定の場合に‐1を入力" sqref="L56:P56 L58:P58 L60:P60 L62:P62 L64:P64" xr:uid="{CB23FB29-DC5E-4A05-9942-C356881E61A9}">
      <formula1>-1</formula1>
    </dataValidation>
    <dataValidation type="whole" imeMode="off" operator="equal" allowBlank="1" showInputMessage="1" showErrorMessage="1" error="Unique indexの場合に1を入力" sqref="K56 K58 K60 K62 K64" xr:uid="{E4344315-FE96-4054-8228-D423D83C006A}">
      <formula1>1</formula1>
    </dataValidation>
    <dataValidation type="list" allowBlank="1" showInputMessage="1" showErrorMessage="1" sqref="N26 P26 N31 P31 N36 P36 N41 P41 N46 P46" xr:uid="{A87B7553-0890-4802-ADE0-FB88DF1AD9AB}">
      <formula1>FK_OPTION</formula1>
    </dataValidation>
    <dataValidation type="list" allowBlank="1" showInputMessage="1" showErrorMessage="1" sqref="L49:P49" xr:uid="{AF2EBA2A-A79A-4A84-A55E-5B108D74E362}">
      <formula1>FK_FIELD_5</formula1>
    </dataValidation>
    <dataValidation type="list" allowBlank="1" showInputMessage="1" showErrorMessage="1" sqref="L44:P44" xr:uid="{98DA0D93-1999-4463-B1FE-FBC45CBFB266}">
      <formula1>FK_FIELD_4</formula1>
    </dataValidation>
    <dataValidation type="list" allowBlank="1" showInputMessage="1" showErrorMessage="1" sqref="L39:P39" xr:uid="{CBA19750-8C4F-431C-A862-4B8DBC8A7C88}">
      <formula1>FK_FIELD_3</formula1>
    </dataValidation>
    <dataValidation type="list" allowBlank="1" showInputMessage="1" showErrorMessage="1" sqref="L34:P34" xr:uid="{96DC4698-0268-42C7-9034-6BF5053F8DF7}">
      <formula1>FK_FIELD_2</formula1>
    </dataValidation>
    <dataValidation type="list" allowBlank="1" showInputMessage="1" showErrorMessage="1" sqref="L29:P29" xr:uid="{62B904D8-45E7-49C3-A495-ED3400FAF71E}">
      <formula1>FK_FIELD_1</formula1>
    </dataValidation>
    <dataValidation type="list" allowBlank="1" showInputMessage="1" showErrorMessage="1" sqref="L26 L31 L36 L41 L46" xr:uid="{75B2D600-22B2-4A70-9D60-2F05606711F7}">
      <formula1>TABLEリスト</formula1>
    </dataValidation>
    <dataValidation type="list" allowBlank="1" showInputMessage="1" showErrorMessage="1" sqref="F2" xr:uid="{55071017-80A8-40C2-B789-A8D458B499A2}">
      <formula1>"○,-"</formula1>
    </dataValidation>
    <dataValidation type="list" allowBlank="1" showInputMessage="1" showErrorMessage="1" sqref="L13:P22 L43:P43 L48:P48 L33:P33 L38:P38 L28:P28 L55:P55 L57:P57 L59:P59 L61:P61 L63:P63" xr:uid="{24500388-0226-4F1E-8DF5-1CB64875A877}">
      <formula1>FIELDリスト</formula1>
    </dataValidation>
    <dataValidation type="list" allowBlank="1" showInputMessage="1" showErrorMessage="1" sqref="L8:P8" xr:uid="{E105CE1B-E5B8-4FE0-B727-6E806D3CB047}">
      <formula1>FIELDリストNN</formula1>
    </dataValidation>
    <dataValidation type="whole" imeMode="off" operator="equal" allowBlank="1" showInputMessage="1" showErrorMessage="1" error="NotNullの場合は[1]を入力する。" sqref="E6:E105" xr:uid="{26D27347-FD86-4AB6-842E-34D98350A280}">
      <formula1>1</formula1>
    </dataValidation>
    <dataValidation type="list" allowBlank="1" showInputMessage="1" showErrorMessage="1" sqref="B6:B105" xr:uid="{39406893-AC3D-4F4F-BE7C-9210A3DC472D}">
      <formula1>項目リスト</formula1>
    </dataValidation>
    <dataValidation imeMode="on" allowBlank="1" showInputMessage="1" showErrorMessage="1" sqref="K12 A5 A1:A2 E2 K7 K54 G6:H105" xr:uid="{FDFC2856-B4EA-4441-88EF-FD4BADE78523}"/>
  </dataValidations>
  <hyperlinks>
    <hyperlink ref="E1" location="一覧!R1C1" display="一覧へ" xr:uid="{CB06C115-2F14-4C9B-9061-002B5853076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9AEA7-4F9A-42E5-99B3-22DC7B15336B}">
  <sheetPr codeName="template4">
    <tabColor rgb="FFFFFFFF"/>
  </sheetPr>
  <dimension ref="A1:AQ116"/>
  <sheetViews>
    <sheetView showGridLines="0" tabSelected="1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受注</v>
      </c>
      <c r="C1" s="20" t="str">
        <f>SCHEMA_EN</f>
        <v>orders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担当者</v>
      </c>
      <c r="C2" s="20" t="str" cm="1">
        <f t="array" ref="C2">INDEX(一覧!DATA_AREA,TABLE_NO,3)</f>
        <v>operators</v>
      </c>
      <c r="D2" s="91">
        <v>4</v>
      </c>
      <c r="E2" s="85" t="s">
        <v>54</v>
      </c>
      <c r="F2" s="86" t="s">
        <v>179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100</v>
      </c>
      <c r="AI3" s="7" t="s">
        <v>58</v>
      </c>
      <c r="AQ3" s="114" t="str">
        <f ca="1">IF(AG3,AH3,AQ4)</f>
        <v/>
      </c>
    </row>
    <row r="4" spans="1:43" ht="20">
      <c r="A4" s="10" t="s">
        <v>35</v>
      </c>
      <c r="E4" s="112" t="s">
        <v>83</v>
      </c>
      <c r="K4" s="10" t="s">
        <v>36</v>
      </c>
      <c r="T4" s="65" t="s">
        <v>46</v>
      </c>
      <c r="AF4" s="7" t="s">
        <v>18</v>
      </c>
      <c r="AG4" s="7" t="b">
        <f ca="1">OR(T6:T105)</f>
        <v>0</v>
      </c>
      <c r="AH4" s="7" t="s">
        <v>97</v>
      </c>
      <c r="AI4" s="96" t="s">
        <v>64</v>
      </c>
      <c r="AJ4" s="96" t="s">
        <v>65</v>
      </c>
      <c r="AK4" s="96" t="s">
        <v>7</v>
      </c>
      <c r="AL4" s="96" t="s">
        <v>59</v>
      </c>
      <c r="AM4" s="96" t="s">
        <v>60</v>
      </c>
      <c r="AN4" s="96" t="s">
        <v>61</v>
      </c>
      <c r="AO4" s="96" t="s">
        <v>62</v>
      </c>
      <c r="AP4" s="96" t="s">
        <v>63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98</v>
      </c>
      <c r="AI5" s="56">
        <f>COUNTA(AI6:AI105)</f>
        <v>2</v>
      </c>
      <c r="AJ5" s="66">
        <f>COUNTA(AJ6:AJ105)</f>
        <v>2</v>
      </c>
      <c r="AK5" s="95">
        <f>COUNTA(AK6:AK105)</f>
        <v>3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170</v>
      </c>
      <c r="C6" s="34" t="str">
        <f ca="1">IFERROR(VLOOKUP(B6,項目!DATA_AREA,2,FALSE),"")</f>
        <v>operator_id</v>
      </c>
      <c r="D6" s="34" t="str">
        <f ca="1">IFERROR(VLOOKUP(B6,項目!DATA_AREA,3,FALSE),"")</f>
        <v>varchar(5)</v>
      </c>
      <c r="E6" s="47">
        <v>1</v>
      </c>
      <c r="F6" s="116" t="s">
        <v>180</v>
      </c>
      <c r="G6" s="37" t="str">
        <f ca="1">IFERROR(VLOOKUP(B6,項目!DATA_AREA,4,FALSE),"")</f>
        <v>(operator_id ~* '^U[0-9]{4}$')</v>
      </c>
      <c r="H6" s="11" t="b">
        <f ca="1">IFERROR(VLOOKUP(B6,項目!DATA_AREA,5,FALSE),"")</f>
        <v>0</v>
      </c>
      <c r="K6" s="50" t="s">
        <v>57</v>
      </c>
      <c r="L6" s="112" t="s">
        <v>81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47</v>
      </c>
      <c r="AF6" s="7" t="s">
        <v>21</v>
      </c>
      <c r="AG6" s="119" t="b">
        <v>0</v>
      </c>
      <c r="AH6" s="7" t="s">
        <v>99</v>
      </c>
      <c r="AI6" s="56" t="s">
        <v>187</v>
      </c>
      <c r="AJ6" s="66" t="s">
        <v>187</v>
      </c>
      <c r="AK6" s="95" t="s">
        <v>157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166</v>
      </c>
      <c r="C7" s="35" t="str">
        <f ca="1">IFERROR(VLOOKUP(B7,項目!DATA_AREA,2,FALSE),"")</f>
        <v>operator_name</v>
      </c>
      <c r="D7" s="35" t="str">
        <f ca="1">IFERROR(VLOOKUP(B7,項目!DATA_AREA,3,FALSE),"")</f>
        <v>varchar(30)</v>
      </c>
      <c r="E7" s="48">
        <v>1</v>
      </c>
      <c r="F7" s="117" t="s">
        <v>180</v>
      </c>
      <c r="G7" s="38" t="str">
        <f ca="1">IFERROR(VLOOKUP(B7,項目!DATA_AREA,4,FALSE),"")</f>
        <v>(LENGTH(operator_name) &gt;= 3)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90</v>
      </c>
      <c r="AI7" s="56" t="s">
        <v>166</v>
      </c>
      <c r="AJ7" s="66" t="s">
        <v>166</v>
      </c>
      <c r="AK7" s="95" t="s">
        <v>155</v>
      </c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 t="s">
        <v>170</v>
      </c>
      <c r="M8" s="69"/>
      <c r="N8" s="69"/>
      <c r="O8" s="69"/>
      <c r="P8" s="70"/>
      <c r="R8" s="83" t="str">
        <f>_xlfn.CONCAT(L8:P8)</f>
        <v>担当者ID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96</v>
      </c>
      <c r="AI8" s="56"/>
      <c r="AJ8" s="66"/>
      <c r="AK8" s="95" t="s">
        <v>158</v>
      </c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91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50</v>
      </c>
      <c r="AG10" s="7" t="b">
        <f ca="1">OR($Y$13:$AC$22)</f>
        <v>0</v>
      </c>
      <c r="AH10" s="7" t="s">
        <v>95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49</v>
      </c>
      <c r="AG11" s="7" t="b">
        <f>OR($AD$13:$AD$22)</f>
        <v>0</v>
      </c>
      <c r="AH11" s="7" t="s">
        <v>89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48</v>
      </c>
      <c r="AD12" s="7" t="s">
        <v>49</v>
      </c>
      <c r="AE12" s="7" t="s">
        <v>72</v>
      </c>
      <c r="AF12" s="7" t="s">
        <v>71</v>
      </c>
      <c r="AG12" s="7" t="b">
        <f ca="1">OR($Y$26:$AC$26,$Y$31:$AC$31,$Y$36:$AC$36,$Y$41:$AC$41,$Y$46:$AC$46)</f>
        <v>0</v>
      </c>
      <c r="AH12" s="7" t="s">
        <v>86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51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50</v>
      </c>
      <c r="AG13" s="7" t="b">
        <f ca="1">OR($Y$27:$AC$28,$Y$32:$AC$33,$Y$37:$AC$38,$Y$42:$AC$43,$Y$47:$AC$48)</f>
        <v>0</v>
      </c>
      <c r="AH13" s="7" t="s">
        <v>92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52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73</v>
      </c>
      <c r="AG14" s="7" t="b">
        <f>OR($AD$26,$AD$31,$AD$36,$AD$41,$AD$46)</f>
        <v>0</v>
      </c>
      <c r="AH14" s="7" t="s">
        <v>94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49</v>
      </c>
      <c r="AG15" s="7" t="b">
        <f>OR($AD$27,$AD$32,$AD$37,$AD$42,$AD$47)</f>
        <v>0</v>
      </c>
      <c r="AH15" s="7" t="s">
        <v>87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84</v>
      </c>
      <c r="AG16" s="7" t="b">
        <f ca="1">OR($AD$28,$AD$33,$AD$38,$AD$43,$AD$48)</f>
        <v>0</v>
      </c>
      <c r="AH16" s="7" t="s">
        <v>88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50</v>
      </c>
      <c r="AG17" s="7" t="b">
        <f ca="1">OR($Y$55:$AC$64)</f>
        <v>0</v>
      </c>
      <c r="AH17" s="7" t="s">
        <v>93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49</v>
      </c>
      <c r="AG18" s="7" t="b">
        <f>OR($AD$55:$AD$64)</f>
        <v>0</v>
      </c>
      <c r="AH18" s="7" t="s">
        <v>85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70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56</v>
      </c>
      <c r="L25" s="112" t="s">
        <v>82</v>
      </c>
      <c r="T25" s="19" t="b">
        <f t="shared" ca="1" si="0"/>
        <v>0</v>
      </c>
      <c r="U25" s="19" t="b">
        <f t="shared" si="2"/>
        <v>0</v>
      </c>
      <c r="V25" s="19"/>
      <c r="X25" s="7" t="s">
        <v>71</v>
      </c>
      <c r="AD25" s="7" t="s">
        <v>73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75</v>
      </c>
      <c r="L26" s="100"/>
      <c r="M26" s="104" t="s">
        <v>76</v>
      </c>
      <c r="N26" s="100"/>
      <c r="O26" s="104" t="s">
        <v>77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73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51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49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78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52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84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79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75</v>
      </c>
      <c r="L31" s="100"/>
      <c r="M31" s="104" t="s">
        <v>76</v>
      </c>
      <c r="N31" s="100"/>
      <c r="O31" s="104" t="s">
        <v>77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78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79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75</v>
      </c>
      <c r="L36" s="100"/>
      <c r="M36" s="104" t="s">
        <v>76</v>
      </c>
      <c r="N36" s="100"/>
      <c r="O36" s="104" t="s">
        <v>77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78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79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75</v>
      </c>
      <c r="L41" s="100"/>
      <c r="M41" s="104" t="s">
        <v>76</v>
      </c>
      <c r="N41" s="100"/>
      <c r="O41" s="104" t="s">
        <v>77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78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79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75</v>
      </c>
      <c r="L46" s="100"/>
      <c r="M46" s="104" t="s">
        <v>76</v>
      </c>
      <c r="N46" s="100"/>
      <c r="O46" s="104" t="s">
        <v>77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78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79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80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74</v>
      </c>
      <c r="AD54" s="7" t="s">
        <v>49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51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52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36" priority="24">
      <formula>ISERROR(B2)</formula>
    </cfRule>
  </conditionalFormatting>
  <conditionalFormatting sqref="B6:B105">
    <cfRule type="expression" dxfId="35" priority="22">
      <formula>COUNTIF(FIELD_NAME,B6)&gt;1</formula>
    </cfRule>
    <cfRule type="expression" dxfId="34" priority="23">
      <formula>AND($B6&lt;&gt;"",ISNA(MATCH($B6,項目リスト,0)))</formula>
    </cfRule>
  </conditionalFormatting>
  <conditionalFormatting sqref="B6">
    <cfRule type="expression" dxfId="33" priority="21">
      <formula>$AI$6="N/A"</formula>
    </cfRule>
  </conditionalFormatting>
  <conditionalFormatting sqref="D1">
    <cfRule type="cellIs" dxfId="32" priority="20" operator="greaterThan">
      <formula>0</formula>
    </cfRule>
  </conditionalFormatting>
  <conditionalFormatting sqref="L8:P8">
    <cfRule type="expression" dxfId="31" priority="26">
      <formula>Y8</formula>
    </cfRule>
    <cfRule type="expression" dxfId="30" priority="27">
      <formula>Y7</formula>
    </cfRule>
  </conditionalFormatting>
  <conditionalFormatting sqref="L13:P22">
    <cfRule type="expression" dxfId="29" priority="18">
      <formula>Y13</formula>
    </cfRule>
    <cfRule type="expression" dxfId="28" priority="19">
      <formula>$AD13</formula>
    </cfRule>
  </conditionalFormatting>
  <conditionalFormatting sqref="L8">
    <cfRule type="expression" dxfId="27" priority="25">
      <formula>$AG$7</formula>
    </cfRule>
  </conditionalFormatting>
  <conditionalFormatting sqref="L55:P64">
    <cfRule type="expression" dxfId="26" priority="16">
      <formula>Y55</formula>
    </cfRule>
    <cfRule type="expression" dxfId="25" priority="17">
      <formula>$AD55</formula>
    </cfRule>
  </conditionalFormatting>
  <conditionalFormatting sqref="L43:P44">
    <cfRule type="expression" dxfId="24" priority="15">
      <formula>Y42</formula>
    </cfRule>
  </conditionalFormatting>
  <conditionalFormatting sqref="L43:P43">
    <cfRule type="expression" dxfId="23" priority="13">
      <formula>$AD42</formula>
    </cfRule>
    <cfRule type="expression" dxfId="22" priority="29">
      <formula>Y41</formula>
    </cfRule>
  </conditionalFormatting>
  <conditionalFormatting sqref="L43">
    <cfRule type="expression" dxfId="21" priority="14">
      <formula>$AD41</formula>
    </cfRule>
  </conditionalFormatting>
  <conditionalFormatting sqref="L28:P29 L33:P34 L38:P39 L48:P49 L43:P44">
    <cfRule type="expression" dxfId="20" priority="30">
      <formula>Y27</formula>
    </cfRule>
  </conditionalFormatting>
  <conditionalFormatting sqref="L29:P29 L34:P34 L39:P39 L49:P49">
    <cfRule type="expression" dxfId="19" priority="31">
      <formula>$AD27</formula>
    </cfRule>
    <cfRule type="expression" dxfId="18" priority="32">
      <formula>Y26</formula>
    </cfRule>
  </conditionalFormatting>
  <conditionalFormatting sqref="L28 L33 L38 L48 L43">
    <cfRule type="expression" dxfId="17" priority="33">
      <formula>$AD26</formula>
    </cfRule>
  </conditionalFormatting>
  <conditionalFormatting sqref="L44:P44">
    <cfRule type="expression" dxfId="16" priority="34">
      <formula>$AD42</formula>
    </cfRule>
    <cfRule type="expression" dxfId="15" priority="35">
      <formula>Y41</formula>
    </cfRule>
  </conditionalFormatting>
  <conditionalFormatting sqref="L28:P28 L33:P33 L38:P38 L43:P43 L48:P48">
    <cfRule type="expression" dxfId="14" priority="12">
      <formula>$AD27</formula>
    </cfRule>
    <cfRule type="expression" dxfId="13" priority="28">
      <formula>Y26</formula>
    </cfRule>
  </conditionalFormatting>
  <conditionalFormatting sqref="K56">
    <cfRule type="expression" dxfId="12" priority="10">
      <formula>X56</formula>
    </cfRule>
    <cfRule type="expression" dxfId="11" priority="11">
      <formula>$AD56</formula>
    </cfRule>
  </conditionalFormatting>
  <conditionalFormatting sqref="K58">
    <cfRule type="expression" dxfId="10" priority="8">
      <formula>X58</formula>
    </cfRule>
    <cfRule type="expression" dxfId="9" priority="9">
      <formula>$AD58</formula>
    </cfRule>
  </conditionalFormatting>
  <conditionalFormatting sqref="K60">
    <cfRule type="expression" dxfId="8" priority="6">
      <formula>X60</formula>
    </cfRule>
    <cfRule type="expression" dxfId="7" priority="7">
      <formula>$AD60</formula>
    </cfRule>
  </conditionalFormatting>
  <conditionalFormatting sqref="K62">
    <cfRule type="expression" dxfId="6" priority="4">
      <formula>X62</formula>
    </cfRule>
    <cfRule type="expression" dxfId="5" priority="5">
      <formula>$AD62</formula>
    </cfRule>
  </conditionalFormatting>
  <conditionalFormatting sqref="K64">
    <cfRule type="expression" dxfId="4" priority="2">
      <formula>X64</formula>
    </cfRule>
    <cfRule type="expression" dxfId="3" priority="3">
      <formula>$AD64</formula>
    </cfRule>
  </conditionalFormatting>
  <conditionalFormatting sqref="L29:P29 L34:P34 L39:P39 L44:P44 L49:P49">
    <cfRule type="expression" dxfId="2" priority="1">
      <formula>$AD28</formula>
    </cfRule>
  </conditionalFormatting>
  <conditionalFormatting sqref="E6">
    <cfRule type="expression" dxfId="1" priority="36" stopIfTrue="1">
      <formula>RC22</formula>
    </cfRule>
  </conditionalFormatting>
  <conditionalFormatting sqref="E7">
    <cfRule type="expression" dxfId="0" priority="37" stopIfTrue="1">
      <formula>RC22</formula>
    </cfRule>
  </conditionalFormatting>
  <dataValidations count="16">
    <dataValidation imeMode="off" allowBlank="1" showInputMessage="1" showErrorMessage="1" sqref="D5:F5 C2 F6:F105" xr:uid="{D355392D-8D79-40BE-9956-6FF495D53113}"/>
    <dataValidation type="whole" imeMode="off" operator="equal" allowBlank="1" showInputMessage="1" showErrorMessage="1" error="DESC指定の場合に‐1を入力" sqref="L56:P56 L58:P58 L60:P60 L62:P62 L64:P64" xr:uid="{8BCEBCC7-BFE7-43A2-AE39-679174BD1D90}">
      <formula1>-1</formula1>
    </dataValidation>
    <dataValidation type="whole" imeMode="off" operator="equal" allowBlank="1" showInputMessage="1" showErrorMessage="1" error="Unique indexの場合に1を入力" sqref="K56 K58 K60 K62 K64" xr:uid="{105A09AB-9FDF-49EB-982B-B1F45053257C}">
      <formula1>1</formula1>
    </dataValidation>
    <dataValidation type="list" allowBlank="1" showInputMessage="1" showErrorMessage="1" sqref="N26 P26 N31 P31 N36 P36 N41 P41 N46 P46" xr:uid="{0F4406D2-6B6E-4290-A3CA-E5AB98045948}">
      <formula1>FK_OPTION</formula1>
    </dataValidation>
    <dataValidation type="list" allowBlank="1" showInputMessage="1" showErrorMessage="1" sqref="L49:P49" xr:uid="{08E78B67-C22D-4670-AC3A-64DC967FD0C0}">
      <formula1>FK_FIELD_5</formula1>
    </dataValidation>
    <dataValidation type="list" allowBlank="1" showInputMessage="1" showErrorMessage="1" sqref="L44:P44" xr:uid="{96CF35B0-9176-44C7-AD97-BBBB8588D972}">
      <formula1>FK_FIELD_4</formula1>
    </dataValidation>
    <dataValidation type="list" allowBlank="1" showInputMessage="1" showErrorMessage="1" sqref="L39:P39" xr:uid="{B90736C8-6ACB-4A82-BE65-28341A12D324}">
      <formula1>FK_FIELD_3</formula1>
    </dataValidation>
    <dataValidation type="list" allowBlank="1" showInputMessage="1" showErrorMessage="1" sqref="L34:P34" xr:uid="{7601A4C5-7039-4FF8-A399-6A38ED1DC962}">
      <formula1>FK_FIELD_2</formula1>
    </dataValidation>
    <dataValidation type="list" allowBlank="1" showInputMessage="1" showErrorMessage="1" sqref="L29:P29" xr:uid="{236B234A-222D-411F-B7D0-CF8DCA215D32}">
      <formula1>FK_FIELD_1</formula1>
    </dataValidation>
    <dataValidation type="list" allowBlank="1" showInputMessage="1" showErrorMessage="1" sqref="L26 L31 L36 L41 L46" xr:uid="{F440BF0C-CD46-4545-9204-E2380878B681}">
      <formula1>TABLEリスト</formula1>
    </dataValidation>
    <dataValidation type="list" allowBlank="1" showInputMessage="1" showErrorMessage="1" sqref="F2" xr:uid="{2BCFCF5D-17C1-4B14-91BB-ACBE8B4491C6}">
      <formula1>"○,-"</formula1>
    </dataValidation>
    <dataValidation type="list" allowBlank="1" showInputMessage="1" showErrorMessage="1" sqref="L13:P22 L43:P43 L48:P48 L33:P33 L38:P38 L28:P28 L55:P55 L57:P57 L59:P59 L61:P61 L63:P63" xr:uid="{BAA60598-C474-425E-823E-EFC1EB57F7B2}">
      <formula1>FIELDリスト</formula1>
    </dataValidation>
    <dataValidation type="list" allowBlank="1" showInputMessage="1" showErrorMessage="1" sqref="L8:P8" xr:uid="{D49F1086-8668-4F03-85F0-104719088F43}">
      <formula1>FIELDリストNN</formula1>
    </dataValidation>
    <dataValidation type="whole" imeMode="off" operator="equal" allowBlank="1" showInputMessage="1" showErrorMessage="1" error="NotNullの場合は[1]を入力する。" sqref="E6:E105" xr:uid="{C7D7D382-5F81-44B1-81D7-30843CE6E9C2}">
      <formula1>1</formula1>
    </dataValidation>
    <dataValidation type="list" allowBlank="1" showInputMessage="1" showErrorMessage="1" sqref="B6:B105" xr:uid="{1E06520A-7D6A-4890-A5B6-0AD70085108C}">
      <formula1>項目リスト</formula1>
    </dataValidation>
    <dataValidation imeMode="on" allowBlank="1" showInputMessage="1" showErrorMessage="1" sqref="K12 A5 A1:A2 E2 K7 K54 G6:H105" xr:uid="{F34CCC91-EA94-4E1D-A80F-A71F9E1BCAB4}"/>
  </dataValidations>
  <hyperlinks>
    <hyperlink ref="E1" location="一覧!R1C1" display="一覧へ" xr:uid="{B0B79EA5-BE19-4FCC-BEDD-50D7D76F41CE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10" sqref="A10"/>
    </sheetView>
  </sheetViews>
  <sheetFormatPr defaultRowHeight="18"/>
  <cols>
    <col min="1" max="1" width="14.25" bestFit="1" customWidth="1"/>
  </cols>
  <sheetData>
    <row r="2" spans="1:8">
      <c r="A2" t="s">
        <v>19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44</v>
      </c>
      <c r="C5" t="s">
        <v>53</v>
      </c>
      <c r="E5" t="s">
        <v>66</v>
      </c>
    </row>
    <row r="6" spans="1:8">
      <c r="A6" s="64" t="s">
        <v>157</v>
      </c>
      <c r="C6" s="84"/>
    </row>
    <row r="7" spans="1:8">
      <c r="E7" s="97" t="s">
        <v>67</v>
      </c>
    </row>
    <row r="8" spans="1:8">
      <c r="A8" t="s">
        <v>45</v>
      </c>
      <c r="E8" s="97" t="s">
        <v>68</v>
      </c>
    </row>
    <row r="9" spans="1:8">
      <c r="A9" s="64" t="s">
        <v>185</v>
      </c>
      <c r="E9" s="97" t="s">
        <v>69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112</vt:i4>
      </vt:variant>
    </vt:vector>
  </HeadingPairs>
  <TitlesOfParts>
    <vt:vector size="120" baseType="lpstr">
      <vt:lpstr>項目</vt:lpstr>
      <vt:lpstr>一覧</vt:lpstr>
      <vt:lpstr>テンプレート</vt:lpstr>
      <vt:lpstr>受注</vt:lpstr>
      <vt:lpstr>受注明細</vt:lpstr>
      <vt:lpstr>商品</vt:lpstr>
      <vt:lpstr>担当者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商品!ERRORS</vt:lpstr>
      <vt:lpstr>担当者!ERRORS</vt:lpstr>
      <vt:lpstr>テンプレート!FIELD_AREA</vt:lpstr>
      <vt:lpstr>受注!FIELD_AREA</vt:lpstr>
      <vt:lpstr>受注明細!FIELD_AREA</vt:lpstr>
      <vt:lpstr>商品!FIELD_AREA</vt:lpstr>
      <vt:lpstr>担当者!FIELD_AREA</vt:lpstr>
      <vt:lpstr>テンプレート!FIELD_COUNT</vt:lpstr>
      <vt:lpstr>受注!FIELD_COUNT</vt:lpstr>
      <vt:lpstr>受注明細!FIELD_COUNT</vt:lpstr>
      <vt:lpstr>商品!FIELD_COUNT</vt:lpstr>
      <vt:lpstr>担当者!FIELD_COUNT</vt:lpstr>
      <vt:lpstr>テンプレート!FIELD_COUNT_NN</vt:lpstr>
      <vt:lpstr>受注!FIELD_COUNT_NN</vt:lpstr>
      <vt:lpstr>受注明細!FIELD_COUNT_NN</vt:lpstr>
      <vt:lpstr>商品!FIELD_COUNT_NN</vt:lpstr>
      <vt:lpstr>担当者!FIELD_COUNT_NN</vt:lpstr>
      <vt:lpstr>テンプレート!FIELD_NAME</vt:lpstr>
      <vt:lpstr>受注!FIELD_NAME</vt:lpstr>
      <vt:lpstr>受注明細!FIELD_NAME</vt:lpstr>
      <vt:lpstr>商品!FIELD_NAME</vt:lpstr>
      <vt:lpstr>担当者!FIELD_NAME</vt:lpstr>
      <vt:lpstr>テンプレート!FIELD_NN</vt:lpstr>
      <vt:lpstr>受注!FIELD_NN</vt:lpstr>
      <vt:lpstr>受注明細!FIELD_NN</vt:lpstr>
      <vt:lpstr>商品!FIELD_NN</vt:lpstr>
      <vt:lpstr>担当者!FIELD_NN</vt:lpstr>
      <vt:lpstr>テンプレート!FK_ENABLE_1</vt:lpstr>
      <vt:lpstr>受注!FK_ENABLE_1</vt:lpstr>
      <vt:lpstr>受注明細!FK_ENABLE_1</vt:lpstr>
      <vt:lpstr>商品!FK_ENABLE_1</vt:lpstr>
      <vt:lpstr>担当者!FK_ENABLE_1</vt:lpstr>
      <vt:lpstr>テンプレート!FK_ENABLE_2</vt:lpstr>
      <vt:lpstr>受注!FK_ENABLE_2</vt:lpstr>
      <vt:lpstr>受注明細!FK_ENABLE_2</vt:lpstr>
      <vt:lpstr>商品!FK_ENABLE_2</vt:lpstr>
      <vt:lpstr>担当者!FK_ENABLE_2</vt:lpstr>
      <vt:lpstr>テンプレート!FK_ENABLE_3</vt:lpstr>
      <vt:lpstr>受注!FK_ENABLE_3</vt:lpstr>
      <vt:lpstr>受注明細!FK_ENABLE_3</vt:lpstr>
      <vt:lpstr>商品!FK_ENABLE_3</vt:lpstr>
      <vt:lpstr>担当者!FK_ENABLE_3</vt:lpstr>
      <vt:lpstr>テンプレート!FK_ENABLE_4</vt:lpstr>
      <vt:lpstr>受注!FK_ENABLE_4</vt:lpstr>
      <vt:lpstr>受注明細!FK_ENABLE_4</vt:lpstr>
      <vt:lpstr>商品!FK_ENABLE_4</vt:lpstr>
      <vt:lpstr>担当者!FK_ENABLE_4</vt:lpstr>
      <vt:lpstr>テンプレート!FK_ENABLE_5</vt:lpstr>
      <vt:lpstr>受注!FK_ENABLE_5</vt:lpstr>
      <vt:lpstr>受注明細!FK_ENABLE_5</vt:lpstr>
      <vt:lpstr>商品!FK_ENABLE_5</vt:lpstr>
      <vt:lpstr>担当者!FK_ENABLE_5</vt:lpstr>
      <vt:lpstr>FK_OPTION</vt:lpstr>
      <vt:lpstr>テンプレート!IS_MASTER</vt:lpstr>
      <vt:lpstr>受注!IS_MASTER</vt:lpstr>
      <vt:lpstr>受注明細!IS_MASTER</vt:lpstr>
      <vt:lpstr>商品!IS_MASTER</vt:lpstr>
      <vt:lpstr>担当者!IS_MASTER</vt:lpstr>
      <vt:lpstr>テンプレート!PK_AREA</vt:lpstr>
      <vt:lpstr>受注!PK_AREA</vt:lpstr>
      <vt:lpstr>受注明細!PK_AREA</vt:lpstr>
      <vt:lpstr>商品!PK_AREA</vt:lpstr>
      <vt:lpstr>担当者!PK_AREA</vt:lpstr>
      <vt:lpstr>SCHEMA_EN</vt:lpstr>
      <vt:lpstr>SCHEMA_JP</vt:lpstr>
      <vt:lpstr>テンプレート!TABLE_AREA</vt:lpstr>
      <vt:lpstr>受注!TABLE_AREA</vt:lpstr>
      <vt:lpstr>受注明細!TABLE_AREA</vt:lpstr>
      <vt:lpstr>商品!TABLE_AREA</vt:lpstr>
      <vt:lpstr>担当者!TABLE_AREA</vt:lpstr>
      <vt:lpstr>テンプレート!TABLE_COUNT</vt:lpstr>
      <vt:lpstr>受注!TABLE_COUNT</vt:lpstr>
      <vt:lpstr>受注明細!TABLE_COUNT</vt:lpstr>
      <vt:lpstr>商品!TABLE_COUNT</vt:lpstr>
      <vt:lpstr>担当者!TABLE_COUNT</vt:lpstr>
      <vt:lpstr>テンプレート!TABLE_EN</vt:lpstr>
      <vt:lpstr>受注!TABLE_EN</vt:lpstr>
      <vt:lpstr>受注明細!TABLE_EN</vt:lpstr>
      <vt:lpstr>商品!TABLE_EN</vt:lpstr>
      <vt:lpstr>担当者!TABLE_EN</vt:lpstr>
      <vt:lpstr>テンプレート!TABLE_JP</vt:lpstr>
      <vt:lpstr>受注!TABLE_JP</vt:lpstr>
      <vt:lpstr>受注明細!TABLE_JP</vt:lpstr>
      <vt:lpstr>商品!TABLE_JP</vt:lpstr>
      <vt:lpstr>担当者!TABLE_JP</vt:lpstr>
      <vt:lpstr>テンプレート!TABLE_NO</vt:lpstr>
      <vt:lpstr>受注!TABLE_NO</vt:lpstr>
      <vt:lpstr>受注明細!TABLE_NO</vt:lpstr>
      <vt:lpstr>商品!TABLE_NO</vt:lpstr>
      <vt:lpstr>担当者!TABLE_NO</vt:lpstr>
      <vt:lpstr>テンプレート!UNIQUE_AREA</vt:lpstr>
      <vt:lpstr>受注!UNIQUE_AREA</vt:lpstr>
      <vt:lpstr>受注明細!UNIQUE_AREA</vt:lpstr>
      <vt:lpstr>商品!UNIQUE_AREA</vt:lpstr>
      <vt:lpstr>担当者!UNIQUE_AREA</vt:lpstr>
      <vt:lpstr>テンプレート!UNIQUE_EXIST</vt:lpstr>
      <vt:lpstr>受注!UNIQUE_EXIST</vt:lpstr>
      <vt:lpstr>受注明細!UNIQUE_EXIST</vt:lpstr>
      <vt:lpstr>商品!UNIQUE_EXIST</vt:lpstr>
      <vt:lpstr>担当者!UNIQUE_EXIST</vt:lpstr>
      <vt:lpstr>テンプレート!UNIQUE_LIST</vt:lpstr>
      <vt:lpstr>受注!UNIQUE_LIST</vt:lpstr>
      <vt:lpstr>受注明細!UNIQUE_LIST</vt:lpstr>
      <vt:lpstr>商品!UNIQUE_LIST</vt:lpstr>
      <vt:lpstr>担当者!UNIQUE_LIST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2025-01-18T23:08:09Z</dcterms:modified>
</cp:coreProperties>
</file>
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dist-element\"/>
    </mc:Choice>
  </mc:AlternateContent>
  <xr:revisionPtr revIDLastSave="0" documentId="13_ncr:1_{E7E3CC7C-F1EA-4CE9-9C2B-E73D9B28FB71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C2" i="3"/>
  <c r="C10" i="3"/>
  <c r="C18" i="3"/>
  <c r="C26" i="3"/>
  <c r="C34" i="3"/>
  <c r="C42" i="3"/>
  <c r="C3" i="3"/>
  <c r="C11" i="3"/>
  <c r="C19" i="3"/>
  <c r="C27" i="3"/>
  <c r="C35" i="3"/>
  <c r="C4" i="3"/>
  <c r="C12" i="3"/>
  <c r="C20" i="3"/>
  <c r="C28" i="3"/>
  <c r="C36" i="3"/>
  <c r="C5" i="3"/>
  <c r="C13" i="3"/>
  <c r="C21" i="3"/>
  <c r="C29" i="3"/>
  <c r="C37" i="3"/>
  <c r="C6" i="3"/>
  <c r="C14" i="3"/>
  <c r="C22" i="3"/>
  <c r="C30" i="3"/>
  <c r="C38" i="3"/>
  <c r="C7" i="3"/>
  <c r="C15" i="3"/>
  <c r="C23" i="3"/>
  <c r="C31" i="3"/>
  <c r="C39" i="3"/>
  <c r="C8" i="3"/>
  <c r="C16" i="3"/>
  <c r="C24" i="3"/>
  <c r="C32" i="3"/>
  <c r="C40" i="3"/>
  <c r="C9" i="3"/>
  <c r="C17" i="3"/>
  <c r="C25" i="3"/>
  <c r="C33" i="3"/>
  <c r="C41" i="3"/>
  <c r="D2" i="5"/>
  <c r="D10" i="5"/>
  <c r="D18" i="5"/>
  <c r="D26" i="5"/>
  <c r="D34" i="5"/>
  <c r="D42" i="5"/>
  <c r="D3" i="5"/>
  <c r="D27" i="5"/>
  <c r="D35" i="5"/>
  <c r="D4" i="5"/>
  <c r="D12" i="5"/>
  <c r="D20" i="5"/>
  <c r="D28" i="5"/>
  <c r="D36" i="5"/>
  <c r="D5" i="5"/>
  <c r="D13" i="5"/>
  <c r="D21" i="5"/>
  <c r="D29" i="5"/>
  <c r="D37" i="5"/>
  <c r="D6" i="5"/>
  <c r="D14" i="5"/>
  <c r="D22" i="5"/>
  <c r="D30" i="5"/>
  <c r="D38" i="5"/>
  <c r="D7" i="5"/>
  <c r="D15" i="5"/>
  <c r="D23" i="5"/>
  <c r="D31" i="5"/>
  <c r="D39" i="5"/>
  <c r="D8" i="5"/>
  <c r="D16" i="5"/>
  <c r="D24" i="5"/>
  <c r="D32" i="5"/>
  <c r="D40" i="5"/>
  <c r="D19" i="5"/>
  <c r="D9" i="5"/>
  <c r="D17" i="5"/>
  <c r="D25" i="5"/>
  <c r="D33" i="5"/>
  <c r="D41" i="5"/>
  <c r="D11" i="5"/>
  <c r="M43" i="3" l="1"/>
  <c r="M44" i="3"/>
  <c r="M45" i="3"/>
  <c r="M46" i="3"/>
  <c r="M47" i="3"/>
  <c r="M48" i="3"/>
  <c r="M49" i="3"/>
  <c r="L43" i="3"/>
  <c r="L44" i="3"/>
  <c r="L45" i="3"/>
  <c r="L46" i="3"/>
  <c r="L47" i="3"/>
  <c r="L48" i="3"/>
  <c r="L49" i="3"/>
  <c r="D43" i="5"/>
  <c r="D44" i="5"/>
  <c r="C44" i="3"/>
  <c r="C48" i="3"/>
  <c r="C43" i="3"/>
  <c r="C46" i="3"/>
  <c r="C47" i="3"/>
  <c r="C49" i="3"/>
  <c r="C45" i="3"/>
</calcChain>
</file>

<file path=xl/sharedStrings.xml><?xml version="1.0" encoding="utf-8"?>
<sst xmlns="http://schemas.openxmlformats.org/spreadsheetml/2006/main" count="295" uniqueCount="182">
  <si>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</si>
  <si>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</si>
  <si>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</si>
  <si>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</si>
  <si>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</si>
  <si>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</si>
  <si>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</si>
  <si>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</si>
  <si>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</si>
  <si>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</si>
  <si>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</si>
  <si>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</si>
  <si>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</si>
  <si>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</si>
  <si>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</si>
  <si>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</si>
  <si>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</si>
  <si>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</si>
  <si>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</si>
  <si>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</si>
  <si>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</si>
  <si>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</si>
  <si>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</si>
  <si>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</si>
  <si>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</si>
  <si>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</si>
  <si>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</si>
  <si>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</si>
  <si>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</si>
  <si>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</si>
  <si>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</si>
  <si>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</si>
  <si>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</si>
  <si>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</si>
  <si>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</si>
  <si>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</si>
  <si>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</si>
  <si>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</si>
  <si>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</si>
  <si>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</si>
  <si>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</si>
  <si>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</si>
  <si>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</si>
  <si>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</si>
  <si>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</si>
  <si>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</si>
  <si>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</si>
  <si>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</si>
  <si>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</si>
  <si>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</si>
  <si>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</si>
  <si>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</si>
  <si>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</si>
  <si>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</si>
  <si>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</si>
  <si>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</si>
  <si>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</si>
  <si>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</si>
  <si>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</si>
  <si>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</si>
  <si>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</si>
  <si>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</si>
  <si>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</si>
  <si>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</si>
  <si>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</si>
  <si>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</si>
  <si>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</si>
  <si>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</si>
  <si>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</si>
  <si>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</si>
  <si>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</si>
  <si>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</si>
  <si>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</si>
  <si>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</si>
  <si>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</si>
  <si>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</si>
  <si>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</si>
  <si>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</si>
  <si>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</si>
  <si>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</si>
  <si>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</si>
  <si>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</si>
  <si>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</si>
  <si>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</si>
  <si>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</si>
  <si>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</si>
  <si>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</si>
  <si>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</si>
  <si>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</si>
  <si>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</si>
  <si>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</si>
  <si>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日付</t>
  </si>
  <si>
    <t>数量</t>
  </si>
  <si>
    <t>sysDate</t>
  </si>
  <si>
    <t>2024-03-15</t>
  </si>
  <si>
    <t>得意先名称</t>
  </si>
  <si>
    <t>金額</t>
  </si>
  <si>
    <t>商品ID</t>
  </si>
  <si>
    <t>商品名</t>
  </si>
  <si>
    <t>受注ステータス</t>
  </si>
  <si>
    <t>受注番号</t>
  </si>
  <si>
    <t>orderNo</t>
  </si>
  <si>
    <t>operatorName</t>
  </si>
  <si>
    <t>customerName</t>
  </si>
  <si>
    <t>price</t>
  </si>
  <si>
    <t>productId</t>
  </si>
  <si>
    <t>productName</t>
  </si>
  <si>
    <t>quantity</t>
  </si>
  <si>
    <t>orderStatus</t>
  </si>
  <si>
    <t>^RO-[0-9]{7}$</t>
  </si>
  <si>
    <t>RO-0000023</t>
  </si>
  <si>
    <t>文字列</t>
  </si>
  <si>
    <t>織田信長</t>
  </si>
  <si>
    <t>担当者名称</t>
  </si>
  <si>
    <t>徳川商事株式会社</t>
  </si>
  <si>
    <t>受注先企業名</t>
  </si>
  <si>
    <t>整数</t>
  </si>
  <si>
    <t>15000</t>
  </si>
  <si>
    <t>^P[0-9]{4}$</t>
  </si>
  <si>
    <t>P0001</t>
  </si>
  <si>
    <t>日本刀</t>
  </si>
  <si>
    <t>商品名称</t>
  </si>
  <si>
    <t>13</t>
  </si>
  <si>
    <t>区分値</t>
  </si>
  <si>
    <t>COMPLETED</t>
  </si>
  <si>
    <t>受注状況</t>
  </si>
  <si>
    <t>受注日</t>
  </si>
  <si>
    <t>orderDate</t>
  </si>
  <si>
    <t>受注担当者名</t>
  </si>
  <si>
    <t>orderPIC</t>
  </si>
  <si>
    <t>受注金額</t>
  </si>
  <si>
    <t>totalOrderPrice</t>
  </si>
  <si>
    <t>商品原価</t>
  </si>
  <si>
    <t>costPrice</t>
  </si>
  <si>
    <t>受注数</t>
  </si>
  <si>
    <t>receivingQuantity</t>
  </si>
  <si>
    <t>出荷数</t>
  </si>
  <si>
    <t>shippingQuantity</t>
  </si>
  <si>
    <t>キャンセル数</t>
  </si>
  <si>
    <t>cancelQuantity</t>
  </si>
  <si>
    <t>受注残数</t>
  </si>
  <si>
    <t>remainingQuantity</t>
  </si>
  <si>
    <t>販売単価</t>
  </si>
  <si>
    <t>selllingPrice</t>
  </si>
  <si>
    <t>受注残額</t>
  </si>
  <si>
    <t>remainingOrderPrice</t>
  </si>
  <si>
    <t>受注総額</t>
  </si>
  <si>
    <t>WORK_IN_PROGRESS</t>
  </si>
  <si>
    <t>仕掛かり</t>
  </si>
  <si>
    <t>受注残あり</t>
  </si>
  <si>
    <t>CANCELED</t>
  </si>
  <si>
    <t>キャンセル</t>
  </si>
  <si>
    <t>キャンセル(すべてキャンセルになった場合)</t>
  </si>
  <si>
    <t>出荷完了</t>
  </si>
  <si>
    <t>PREPARING</t>
  </si>
  <si>
    <t>準備中</t>
  </si>
  <si>
    <t>受注番号</t>
    <phoneticPr fontId="1"/>
  </si>
  <si>
    <t>担当者名</t>
  </si>
  <si>
    <t>担当者名</t>
    <phoneticPr fontId="1"/>
  </si>
  <si>
    <t>担当者ID</t>
  </si>
  <si>
    <t>担当者ID</t>
    <phoneticPr fontId="1"/>
  </si>
  <si>
    <t>operatorId</t>
    <phoneticPr fontId="1"/>
  </si>
  <si>
    <t>^U[0-9]{4}$</t>
    <phoneticPr fontId="1"/>
  </si>
  <si>
    <t>U0100</t>
    <phoneticPr fontId="1"/>
  </si>
  <si>
    <t>受注担当者ID</t>
    <phoneticPr fontId="1"/>
  </si>
  <si>
    <t>商品担当者ID</t>
    <rPh sb="2" eb="5">
      <t>タントウシャ</t>
    </rPh>
    <phoneticPr fontId="1"/>
  </si>
  <si>
    <t>商品管理者ID</t>
    <rPh sb="2" eb="5">
      <t>カンリシャ</t>
    </rPh>
    <phoneticPr fontId="1"/>
  </si>
  <si>
    <t>productPIC</t>
    <phoneticPr fontId="1"/>
  </si>
  <si>
    <t>商品ステータス</t>
  </si>
  <si>
    <t>商品ステータス</t>
    <rPh sb="0" eb="2">
      <t>ショウヒン</t>
    </rPh>
    <phoneticPr fontId="1"/>
  </si>
  <si>
    <t>productStatus</t>
    <phoneticPr fontId="1"/>
  </si>
  <si>
    <t>商品ステータス</t>
    <phoneticPr fontId="1"/>
  </si>
  <si>
    <t>PREPARING</t>
    <phoneticPr fontId="1"/>
  </si>
  <si>
    <t>準備中</t>
    <phoneticPr fontId="1"/>
  </si>
  <si>
    <t>準備中</t>
    <rPh sb="0" eb="2">
      <t>ジュンビ</t>
    </rPh>
    <phoneticPr fontId="1"/>
  </si>
  <si>
    <t>ON_SALE</t>
    <phoneticPr fontId="1"/>
  </si>
  <si>
    <t>販売中</t>
    <rPh sb="0" eb="3">
      <t>ハンバイチュウ</t>
    </rPh>
    <phoneticPr fontId="1"/>
  </si>
  <si>
    <t>END_OF_SALE</t>
    <phoneticPr fontId="1"/>
  </si>
  <si>
    <t>販売終了</t>
    <rPh sb="0" eb="4">
      <t>ハンバイシュウリョウ</t>
    </rPh>
    <phoneticPr fontId="1"/>
  </si>
  <si>
    <t>SUSPENDED</t>
    <phoneticPr fontId="1"/>
  </si>
  <si>
    <t>一時中止</t>
    <rPh sb="0" eb="4">
      <t>イチジチュウシ</t>
    </rPh>
    <phoneticPr fontId="1"/>
  </si>
  <si>
    <t>商品状況</t>
    <rPh sb="0" eb="2">
      <t>ショウヒン</t>
    </rPh>
    <rPh sb="2" eb="4">
      <t>ジョウキョウ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</si>
</sst>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/>
      <bottom style="thin">
        <color rgb="FFBDD7EE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49" fontId="4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179" fontId="4" fillId="0" borderId="12" xfId="0" applyNumberFormat="1" applyFont="1" applyFill="1" applyBorder="1">
      <alignment vertical="center"/>
    </xf>
    <xf numFmtId="0" fontId="4" fillId="7" borderId="12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0" fontId="4" fillId="0" borderId="12" xfId="0" applyNumberFormat="1" applyFont="1" applyFill="1" applyBorder="1">
      <alignment vertical="center"/>
    </xf>
    <xf numFmtId="0" fontId="4" fillId="0" borderId="15" xfId="0" applyFont="1" applyFill="1" applyBorder="1">
      <alignment vertical="center"/>
    </xf>
    <xf numFmtId="0" fontId="4" fillId="5" borderId="15" xfId="0" applyFont="1" applyFill="1" applyBorder="1">
      <alignment vertical="center"/>
    </xf>
  </cellXfs>
  <cellStyles count="1">
    <cellStyle name="標準" xfId="0" builtinId="0"/>
  </cellStyles>
  <dxfs count="6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1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K11" sqref="K11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4" t="s">
        <v>100</v>
      </c>
      <c r="B2" s="44" t="s">
        <v>101</v>
      </c>
      <c r="C2" s="45" t="str">
        <f t="shared" ref="C2:C42" si="0">camel2snake(B2)</f>
        <v>order_no</v>
      </c>
      <c r="D2" s="44" t="s">
        <v>90</v>
      </c>
      <c r="E2" s="41" t="s">
        <v>109</v>
      </c>
      <c r="F2" s="50">
        <v>10</v>
      </c>
      <c r="G2" s="50">
        <v>10</v>
      </c>
      <c r="H2" s="51"/>
      <c r="I2" s="51"/>
      <c r="J2" s="41" t="s">
        <v>110</v>
      </c>
      <c r="K2" s="44" t="s">
        <v>100</v>
      </c>
      <c r="L2" s="52">
        <f ca="1">COUNTIF(派生元項目KEY,A2)</f>
        <v>0</v>
      </c>
      <c r="M2" s="52">
        <f ca="1">COUNTIF(区分値項目KEY,A2)</f>
        <v>0</v>
      </c>
      <c r="N2"/>
      <c r="O2"/>
    </row>
    <row r="3" spans="1:15" ht="18" x14ac:dyDescent="0.55000000000000004">
      <c r="A3" s="44" t="s">
        <v>91</v>
      </c>
      <c r="B3" s="44" t="s">
        <v>93</v>
      </c>
      <c r="C3" s="45" t="str">
        <f t="shared" si="0"/>
        <v>sys_date</v>
      </c>
      <c r="D3" s="44" t="s">
        <v>91</v>
      </c>
      <c r="E3" s="51"/>
      <c r="F3" s="51"/>
      <c r="G3" s="51"/>
      <c r="H3" s="51"/>
      <c r="I3" s="51"/>
      <c r="J3" s="41" t="s">
        <v>94</v>
      </c>
      <c r="K3" s="44" t="s">
        <v>91</v>
      </c>
      <c r="L3" s="52">
        <f ca="1">COUNTIF(派生元項目KEY,A3)</f>
        <v>1</v>
      </c>
      <c r="M3" s="52">
        <f ca="1">COUNTIF(区分値項目KEY,A3)</f>
        <v>0</v>
      </c>
      <c r="N3"/>
      <c r="O3"/>
    </row>
    <row r="4" spans="1:15" ht="18" x14ac:dyDescent="0.55000000000000004">
      <c r="A4" s="44" t="s">
        <v>158</v>
      </c>
      <c r="B4" s="44" t="s">
        <v>102</v>
      </c>
      <c r="C4" s="45" t="str">
        <f t="shared" si="0"/>
        <v>operator_name</v>
      </c>
      <c r="D4" s="44" t="s">
        <v>111</v>
      </c>
      <c r="E4" s="41"/>
      <c r="F4" s="50">
        <v>3</v>
      </c>
      <c r="G4" s="50">
        <v>30</v>
      </c>
      <c r="H4" s="51"/>
      <c r="I4" s="51"/>
      <c r="J4" s="41" t="s">
        <v>112</v>
      </c>
      <c r="K4" s="44" t="s">
        <v>113</v>
      </c>
      <c r="L4" s="52">
        <f ca="1">COUNTIF(派生元項目KEY,A4)</f>
        <v>0</v>
      </c>
      <c r="M4" s="52">
        <f ca="1">COUNTIF(区分値項目KEY,A4)</f>
        <v>0</v>
      </c>
      <c r="N4"/>
      <c r="O4"/>
    </row>
    <row r="5" spans="1:15" ht="18" x14ac:dyDescent="0.55000000000000004">
      <c r="A5" s="44" t="s">
        <v>95</v>
      </c>
      <c r="B5" s="44" t="s">
        <v>103</v>
      </c>
      <c r="C5" s="45" t="str">
        <f t="shared" si="0"/>
        <v>customer_name</v>
      </c>
      <c r="D5" s="44" t="s">
        <v>111</v>
      </c>
      <c r="E5" s="41"/>
      <c r="F5" s="50"/>
      <c r="G5" s="50">
        <v>50</v>
      </c>
      <c r="H5" s="51"/>
      <c r="I5" s="51"/>
      <c r="J5" s="41" t="s">
        <v>114</v>
      </c>
      <c r="K5" s="44" t="s">
        <v>115</v>
      </c>
      <c r="L5" s="52">
        <f ca="1">COUNTIF(派生元項目KEY,A5)</f>
        <v>0</v>
      </c>
      <c r="M5" s="52">
        <f ca="1">COUNTIF(区分値項目KEY,A5)</f>
        <v>0</v>
      </c>
      <c r="N5"/>
      <c r="O5"/>
    </row>
    <row r="6" spans="1:15" ht="18" x14ac:dyDescent="0.55000000000000004">
      <c r="A6" s="44" t="s">
        <v>96</v>
      </c>
      <c r="B6" s="44" t="s">
        <v>104</v>
      </c>
      <c r="C6" s="45" t="str">
        <f t="shared" si="0"/>
        <v>price</v>
      </c>
      <c r="D6" s="44" t="s">
        <v>116</v>
      </c>
      <c r="E6" s="51"/>
      <c r="F6" s="51"/>
      <c r="G6" s="51"/>
      <c r="H6" s="50">
        <v>0</v>
      </c>
      <c r="I6" s="50">
        <v>9999999</v>
      </c>
      <c r="J6" s="41" t="s">
        <v>117</v>
      </c>
      <c r="K6" s="44" t="s">
        <v>96</v>
      </c>
      <c r="L6" s="52">
        <f ca="1">COUNTIF(派生元項目KEY,A6)</f>
        <v>4</v>
      </c>
      <c r="M6" s="52">
        <f ca="1">COUNTIF(区分値項目KEY,A6)</f>
        <v>0</v>
      </c>
      <c r="N6"/>
      <c r="O6"/>
    </row>
    <row r="7" spans="1:15" ht="18" x14ac:dyDescent="0.55000000000000004">
      <c r="A7" s="44" t="s">
        <v>97</v>
      </c>
      <c r="B7" s="44" t="s">
        <v>105</v>
      </c>
      <c r="C7" s="45" t="str">
        <f t="shared" si="0"/>
        <v>product_id</v>
      </c>
      <c r="D7" s="44" t="s">
        <v>90</v>
      </c>
      <c r="E7" s="41" t="s">
        <v>118</v>
      </c>
      <c r="F7" s="50">
        <v>5</v>
      </c>
      <c r="G7" s="50">
        <v>5</v>
      </c>
      <c r="H7" s="51"/>
      <c r="I7" s="51"/>
      <c r="J7" s="41" t="s">
        <v>119</v>
      </c>
      <c r="K7" s="44" t="s">
        <v>97</v>
      </c>
      <c r="L7" s="52">
        <f ca="1">COUNTIF(派生元項目KEY,A7)</f>
        <v>0</v>
      </c>
      <c r="M7" s="52">
        <f ca="1">COUNTIF(区分値項目KEY,A7)</f>
        <v>0</v>
      </c>
      <c r="N7"/>
      <c r="O7"/>
    </row>
    <row r="8" spans="1:15" ht="18" x14ac:dyDescent="0.55000000000000004">
      <c r="A8" s="44" t="s">
        <v>98</v>
      </c>
      <c r="B8" s="44" t="s">
        <v>106</v>
      </c>
      <c r="C8" s="45" t="str">
        <f t="shared" si="0"/>
        <v>product_name</v>
      </c>
      <c r="D8" s="44" t="s">
        <v>111</v>
      </c>
      <c r="E8" s="41"/>
      <c r="F8" s="50"/>
      <c r="G8" s="50">
        <v>30</v>
      </c>
      <c r="H8" s="51"/>
      <c r="I8" s="51"/>
      <c r="J8" s="41" t="s">
        <v>120</v>
      </c>
      <c r="K8" s="44" t="s">
        <v>121</v>
      </c>
      <c r="L8" s="52">
        <f ca="1">COUNTIF(派生元項目KEY,A8)</f>
        <v>0</v>
      </c>
      <c r="M8" s="52">
        <f ca="1">COUNTIF(区分値項目KEY,A8)</f>
        <v>0</v>
      </c>
      <c r="N8"/>
      <c r="O8"/>
    </row>
    <row r="9" spans="1:15" ht="18" x14ac:dyDescent="0.55000000000000004">
      <c r="A9" s="44" t="s">
        <v>92</v>
      </c>
      <c r="B9" s="44" t="s">
        <v>107</v>
      </c>
      <c r="C9" s="45" t="str">
        <f t="shared" si="0"/>
        <v>quantity</v>
      </c>
      <c r="D9" s="44" t="s">
        <v>116</v>
      </c>
      <c r="E9" s="51"/>
      <c r="F9" s="51"/>
      <c r="G9" s="51"/>
      <c r="H9" s="50">
        <v>0</v>
      </c>
      <c r="I9" s="50">
        <v>1000</v>
      </c>
      <c r="J9" s="41" t="s">
        <v>122</v>
      </c>
      <c r="K9" s="44" t="s">
        <v>92</v>
      </c>
      <c r="L9" s="52">
        <f ca="1">COUNTIF(派生元項目KEY,A9)</f>
        <v>4</v>
      </c>
      <c r="M9" s="52">
        <f ca="1">COUNTIF(区分値項目KEY,A9)</f>
        <v>0</v>
      </c>
      <c r="N9"/>
      <c r="O9"/>
    </row>
    <row r="10" spans="1:15" ht="18" x14ac:dyDescent="0.55000000000000004">
      <c r="A10" s="44" t="s">
        <v>169</v>
      </c>
      <c r="B10" s="44" t="s">
        <v>170</v>
      </c>
      <c r="C10" s="45" t="str">
        <f t="shared" si="0"/>
        <v>product_status</v>
      </c>
      <c r="D10" s="44" t="s">
        <v>9</v>
      </c>
      <c r="E10" s="51"/>
      <c r="F10" s="50"/>
      <c r="G10" s="50"/>
      <c r="H10" s="51"/>
      <c r="I10" s="51"/>
      <c r="J10" s="41" t="s">
        <v>175</v>
      </c>
      <c r="K10" s="44" t="s">
        <v>181</v>
      </c>
      <c r="L10" s="52">
        <f ca="1">COUNTIF(派生元項目KEY,A10)</f>
        <v>0</v>
      </c>
      <c r="M10" s="52">
        <f ca="1">COUNTIF(区分値項目KEY,A10)</f>
        <v>4</v>
      </c>
      <c r="N10"/>
      <c r="O10"/>
    </row>
    <row r="11" spans="1:15" ht="18" x14ac:dyDescent="0.55000000000000004">
      <c r="A11" s="44" t="s">
        <v>99</v>
      </c>
      <c r="B11" s="44" t="s">
        <v>108</v>
      </c>
      <c r="C11" s="45" t="str">
        <f t="shared" si="0"/>
        <v>order_status</v>
      </c>
      <c r="D11" s="44" t="s">
        <v>123</v>
      </c>
      <c r="E11" s="51"/>
      <c r="F11" s="50"/>
      <c r="G11" s="50"/>
      <c r="H11" s="51"/>
      <c r="I11" s="51"/>
      <c r="J11" s="41" t="s">
        <v>124</v>
      </c>
      <c r="K11" s="44" t="s">
        <v>125</v>
      </c>
      <c r="L11" s="52">
        <f ca="1">COUNTIF(派生元項目KEY,A11)</f>
        <v>0</v>
      </c>
      <c r="M11" s="52">
        <f ca="1">COUNTIF(区分値項目KEY,A11)</f>
        <v>4</v>
      </c>
      <c r="N11"/>
      <c r="O11"/>
    </row>
    <row r="12" spans="1:15" ht="18" x14ac:dyDescent="0.55000000000000004">
      <c r="A12" s="44" t="s">
        <v>160</v>
      </c>
      <c r="B12" s="44" t="s">
        <v>161</v>
      </c>
      <c r="C12" s="45" t="str">
        <f t="shared" si="0"/>
        <v>operator_id</v>
      </c>
      <c r="D12" s="44" t="s">
        <v>90</v>
      </c>
      <c r="E12" s="41" t="s">
        <v>162</v>
      </c>
      <c r="F12" s="50">
        <v>5</v>
      </c>
      <c r="G12" s="50">
        <v>5</v>
      </c>
      <c r="H12" s="51"/>
      <c r="I12" s="51"/>
      <c r="J12" s="41" t="s">
        <v>163</v>
      </c>
      <c r="K12" s="44" t="s">
        <v>160</v>
      </c>
      <c r="L12" s="52">
        <f ca="1">COUNTIF(派生元項目KEY,A12)</f>
        <v>2</v>
      </c>
      <c r="M12" s="52">
        <f ca="1">COUNTIF(区分値項目KEY,A12)</f>
        <v>0</v>
      </c>
      <c r="N12"/>
      <c r="O12"/>
    </row>
    <row r="13" spans="1:15" ht="18" x14ac:dyDescent="0.55000000000000004">
      <c r="A13" s="44"/>
      <c r="B13" s="44"/>
      <c r="C13" s="45" t="str">
        <f t="shared" si="0"/>
        <v/>
      </c>
      <c r="D13" s="44"/>
      <c r="E13" s="53"/>
      <c r="F13" s="53"/>
      <c r="G13" s="53"/>
      <c r="H13" s="53"/>
      <c r="I13" s="53"/>
      <c r="J13" s="41"/>
      <c r="K13" s="44"/>
      <c r="L13" s="52">
        <f ca="1">COUNTIF(派生元項目KEY,A13)</f>
        <v>0</v>
      </c>
      <c r="M13" s="52">
        <f ca="1">COUNTIF(区分値項目KEY,A13)</f>
        <v>0</v>
      </c>
      <c r="N13"/>
      <c r="O13"/>
    </row>
    <row r="14" spans="1:15" ht="18" x14ac:dyDescent="0.55000000000000004">
      <c r="A14" s="44"/>
      <c r="B14" s="44"/>
      <c r="C14" s="45" t="str">
        <f t="shared" si="0"/>
        <v/>
      </c>
      <c r="D14" s="44"/>
      <c r="E14" s="53"/>
      <c r="F14" s="53"/>
      <c r="G14" s="53"/>
      <c r="H14" s="53"/>
      <c r="I14" s="53"/>
      <c r="J14" s="41"/>
      <c r="K14" s="44"/>
      <c r="L14" s="52">
        <f ca="1">COUNTIF(派生元項目KEY,A14)</f>
        <v>0</v>
      </c>
      <c r="M14" s="52">
        <f ca="1">COUNTIF(区分値項目KEY,A14)</f>
        <v>0</v>
      </c>
      <c r="N14"/>
      <c r="O14"/>
    </row>
    <row r="15" spans="1:15" ht="18" x14ac:dyDescent="0.55000000000000004">
      <c r="A15" s="44"/>
      <c r="B15" s="44"/>
      <c r="C15" s="45" t="str">
        <f t="shared" si="0"/>
        <v/>
      </c>
      <c r="D15" s="44"/>
      <c r="E15" s="53"/>
      <c r="F15" s="53"/>
      <c r="G15" s="53"/>
      <c r="H15" s="53"/>
      <c r="I15" s="53"/>
      <c r="J15" s="41"/>
      <c r="K15" s="44"/>
      <c r="L15" s="52">
        <f ca="1">COUNTIF(派生元項目KEY,A15)</f>
        <v>0</v>
      </c>
      <c r="M15" s="52">
        <f ca="1">COUNTIF(区分値項目KEY,A15)</f>
        <v>0</v>
      </c>
      <c r="N15"/>
      <c r="O15"/>
    </row>
    <row r="16" spans="1:15" ht="18" x14ac:dyDescent="0.55000000000000004">
      <c r="A16" s="44"/>
      <c r="B16" s="44"/>
      <c r="C16" s="45" t="str">
        <f t="shared" si="0"/>
        <v/>
      </c>
      <c r="D16" s="44"/>
      <c r="E16" s="53"/>
      <c r="F16" s="53"/>
      <c r="G16" s="53"/>
      <c r="H16" s="53"/>
      <c r="I16" s="53"/>
      <c r="J16" s="41"/>
      <c r="K16" s="44"/>
      <c r="L16" s="52">
        <f ca="1">COUNTIF(派生元項目KEY,A16)</f>
        <v>0</v>
      </c>
      <c r="M16" s="52">
        <f ca="1">COUNTIF(区分値項目KEY,A16)</f>
        <v>0</v>
      </c>
      <c r="N16"/>
      <c r="O16"/>
    </row>
    <row r="17" spans="1:15" ht="18" x14ac:dyDescent="0.55000000000000004">
      <c r="A17" s="44"/>
      <c r="B17" s="44"/>
      <c r="C17" s="45" t="str">
        <f t="shared" si="0"/>
        <v/>
      </c>
      <c r="D17" s="44"/>
      <c r="E17" s="53"/>
      <c r="F17" s="53"/>
      <c r="G17" s="53"/>
      <c r="H17" s="53"/>
      <c r="I17" s="53"/>
      <c r="J17" s="41"/>
      <c r="K17" s="44"/>
      <c r="L17" s="52">
        <f ca="1">COUNTIF(派生元項目KEY,A17)</f>
        <v>0</v>
      </c>
      <c r="M17" s="52">
        <f ca="1">COUNTIF(区分値項目KEY,A17)</f>
        <v>0</v>
      </c>
      <c r="N17"/>
      <c r="O17"/>
    </row>
    <row r="18" spans="1:15" ht="18" x14ac:dyDescent="0.55000000000000004">
      <c r="A18" s="44"/>
      <c r="B18" s="44"/>
      <c r="C18" s="45" t="str">
        <f t="shared" si="0"/>
        <v/>
      </c>
      <c r="D18" s="44"/>
      <c r="E18" s="53"/>
      <c r="F18" s="53"/>
      <c r="G18" s="53"/>
      <c r="H18" s="53"/>
      <c r="I18" s="53"/>
      <c r="J18" s="41"/>
      <c r="K18" s="44"/>
      <c r="L18" s="52">
        <f ca="1">COUNTIF(派生元項目KEY,A18)</f>
        <v>0</v>
      </c>
      <c r="M18" s="52">
        <f ca="1">COUNTIF(区分値項目KEY,A18)</f>
        <v>0</v>
      </c>
      <c r="N18"/>
      <c r="O18"/>
    </row>
    <row r="19" spans="1:15" ht="18" x14ac:dyDescent="0.55000000000000004">
      <c r="A19" s="44"/>
      <c r="B19" s="44"/>
      <c r="C19" s="45" t="str">
        <f t="shared" si="0"/>
        <v/>
      </c>
      <c r="D19" s="44"/>
      <c r="E19" s="53"/>
      <c r="F19" s="53"/>
      <c r="G19" s="53"/>
      <c r="H19" s="53"/>
      <c r="I19" s="53"/>
      <c r="J19" s="41"/>
      <c r="K19" s="44"/>
      <c r="L19" s="52">
        <f ca="1">COUNTIF(派生元項目KEY,A19)</f>
        <v>0</v>
      </c>
      <c r="M19" s="52">
        <f ca="1">COUNTIF(区分値項目KEY,A19)</f>
        <v>0</v>
      </c>
      <c r="N19"/>
      <c r="O19"/>
    </row>
    <row r="20" spans="1:15" ht="18" x14ac:dyDescent="0.55000000000000004">
      <c r="A20" s="44"/>
      <c r="B20" s="44"/>
      <c r="C20" s="45" t="str">
        <f t="shared" si="0"/>
        <v/>
      </c>
      <c r="D20" s="44"/>
      <c r="E20" s="44"/>
      <c r="F20" s="44"/>
      <c r="G20" s="44"/>
      <c r="H20" s="44"/>
      <c r="I20" s="44"/>
      <c r="J20" s="41"/>
      <c r="K20" s="44"/>
      <c r="L20" s="52">
        <f ca="1">COUNTIF(派生元項目KEY,A20)</f>
        <v>0</v>
      </c>
      <c r="M20" s="52">
        <f ca="1">COUNTIF(区分値項目KEY,A20)</f>
        <v>0</v>
      </c>
      <c r="N20"/>
      <c r="O20"/>
    </row>
    <row r="21" spans="1:15" ht="18" x14ac:dyDescent="0.55000000000000004">
      <c r="A21" s="44"/>
      <c r="B21" s="44"/>
      <c r="C21" s="45" t="str">
        <f t="shared" si="0"/>
        <v/>
      </c>
      <c r="D21" s="44"/>
      <c r="E21" s="44"/>
      <c r="F21" s="44"/>
      <c r="G21" s="44"/>
      <c r="H21" s="44"/>
      <c r="I21" s="44"/>
      <c r="J21" s="41"/>
      <c r="K21" s="44"/>
      <c r="L21" s="52">
        <f ca="1">COUNTIF(派生元項目KEY,A21)</f>
        <v>0</v>
      </c>
      <c r="M21" s="52">
        <f ca="1">COUNTIF(区分値項目KEY,A21)</f>
        <v>0</v>
      </c>
      <c r="N21"/>
      <c r="O21"/>
    </row>
    <row r="22" spans="1:15" ht="18" x14ac:dyDescent="0.55000000000000004">
      <c r="A22" s="44"/>
      <c r="B22" s="44"/>
      <c r="C22" s="45" t="str">
        <f t="shared" si="0"/>
        <v/>
      </c>
      <c r="D22" s="44"/>
      <c r="E22" s="44"/>
      <c r="F22" s="44"/>
      <c r="G22" s="44"/>
      <c r="H22" s="44"/>
      <c r="I22" s="44"/>
      <c r="J22" s="41"/>
      <c r="K22" s="44"/>
      <c r="L22" s="52">
        <f ca="1">COUNTIF(派生元項目KEY,A22)</f>
        <v>0</v>
      </c>
      <c r="M22" s="52">
        <f ca="1">COUNTIF(区分値項目KEY,A22)</f>
        <v>0</v>
      </c>
      <c r="N22"/>
      <c r="O22"/>
    </row>
    <row r="23" spans="1:15" ht="18" x14ac:dyDescent="0.55000000000000004">
      <c r="A23" s="44"/>
      <c r="B23" s="44"/>
      <c r="C23" s="45" t="str">
        <f t="shared" si="0"/>
        <v/>
      </c>
      <c r="D23" s="44"/>
      <c r="E23" s="44"/>
      <c r="F23" s="44"/>
      <c r="G23" s="44"/>
      <c r="H23" s="44"/>
      <c r="I23" s="44"/>
      <c r="J23" s="41"/>
      <c r="K23" s="44"/>
      <c r="L23" s="52">
        <f ca="1">COUNTIF(派生元項目KEY,A23)</f>
        <v>0</v>
      </c>
      <c r="M23" s="52">
        <f ca="1">COUNTIF(区分値項目KEY,A23)</f>
        <v>0</v>
      </c>
      <c r="N23"/>
      <c r="O23"/>
    </row>
    <row r="24" spans="1:15" ht="18" x14ac:dyDescent="0.55000000000000004">
      <c r="A24" s="44"/>
      <c r="B24" s="44"/>
      <c r="C24" s="45" t="str">
        <f t="shared" si="0"/>
        <v/>
      </c>
      <c r="D24" s="44"/>
      <c r="E24" s="44"/>
      <c r="F24" s="44"/>
      <c r="G24" s="44"/>
      <c r="H24" s="44"/>
      <c r="I24" s="44"/>
      <c r="J24" s="41"/>
      <c r="K24" s="44"/>
      <c r="L24" s="52">
        <f ca="1">COUNTIF(派生元項目KEY,A24)</f>
        <v>0</v>
      </c>
      <c r="M24" s="52">
        <f ca="1">COUNTIF(区分値項目KEY,A24)</f>
        <v>0</v>
      </c>
      <c r="N24"/>
      <c r="O24"/>
    </row>
    <row r="25" spans="1:15" ht="18" x14ac:dyDescent="0.55000000000000004">
      <c r="A25" s="44"/>
      <c r="B25" s="44"/>
      <c r="C25" s="45" t="str">
        <f t="shared" si="0"/>
        <v/>
      </c>
      <c r="D25" s="44"/>
      <c r="E25" s="44"/>
      <c r="F25" s="44"/>
      <c r="G25" s="44"/>
      <c r="H25" s="44"/>
      <c r="I25" s="44"/>
      <c r="J25" s="41"/>
      <c r="K25" s="44"/>
      <c r="L25" s="52">
        <f ca="1">COUNTIF(派生元項目KEY,A25)</f>
        <v>0</v>
      </c>
      <c r="M25" s="52">
        <f ca="1">COUNTIF(区分値項目KEY,A25)</f>
        <v>0</v>
      </c>
      <c r="N25"/>
      <c r="O25"/>
    </row>
    <row r="26" spans="1:15" ht="18" x14ac:dyDescent="0.55000000000000004">
      <c r="A26" s="44"/>
      <c r="B26" s="44"/>
      <c r="C26" s="45" t="str">
        <f t="shared" si="0"/>
        <v/>
      </c>
      <c r="D26" s="44"/>
      <c r="E26" s="44"/>
      <c r="F26" s="44"/>
      <c r="G26" s="44"/>
      <c r="H26" s="44"/>
      <c r="I26" s="44"/>
      <c r="J26" s="41"/>
      <c r="K26" s="44"/>
      <c r="L26" s="52">
        <f ca="1">COUNTIF(派生元項目KEY,A26)</f>
        <v>0</v>
      </c>
      <c r="M26" s="52">
        <f ca="1">COUNTIF(区分値項目KEY,A26)</f>
        <v>0</v>
      </c>
      <c r="N26"/>
      <c r="O26"/>
    </row>
    <row r="27" spans="1:15" ht="18" x14ac:dyDescent="0.55000000000000004">
      <c r="A27" s="44"/>
      <c r="B27" s="44"/>
      <c r="C27" s="45" t="str">
        <f t="shared" si="0"/>
        <v/>
      </c>
      <c r="D27" s="44"/>
      <c r="E27" s="44"/>
      <c r="F27" s="44"/>
      <c r="G27" s="44"/>
      <c r="H27" s="44"/>
      <c r="I27" s="44"/>
      <c r="J27" s="41"/>
      <c r="K27" s="44"/>
      <c r="L27" s="52">
        <f ca="1">COUNTIF(派生元項目KEY,A27)</f>
        <v>0</v>
      </c>
      <c r="M27" s="52">
        <f ca="1">COUNTIF(区分値項目KEY,A27)</f>
        <v>0</v>
      </c>
      <c r="N27"/>
      <c r="O27"/>
    </row>
    <row r="28" spans="1:15" ht="18" x14ac:dyDescent="0.55000000000000004">
      <c r="A28" s="44"/>
      <c r="B28" s="44"/>
      <c r="C28" s="45" t="str">
        <f t="shared" si="0"/>
        <v/>
      </c>
      <c r="D28" s="44"/>
      <c r="E28" s="44"/>
      <c r="F28" s="44"/>
      <c r="G28" s="44"/>
      <c r="H28" s="44"/>
      <c r="I28" s="44"/>
      <c r="J28" s="41"/>
      <c r="K28" s="44"/>
      <c r="L28" s="52">
        <f ca="1">COUNTIF(派生元項目KEY,A28)</f>
        <v>0</v>
      </c>
      <c r="M28" s="52">
        <f ca="1">COUNTIF(区分値項目KEY,A28)</f>
        <v>0</v>
      </c>
      <c r="N28"/>
      <c r="O28"/>
    </row>
    <row r="29" spans="1:15" ht="18" x14ac:dyDescent="0.55000000000000004">
      <c r="A29" s="44"/>
      <c r="B29" s="44"/>
      <c r="C29" s="45" t="str">
        <f t="shared" si="0"/>
        <v/>
      </c>
      <c r="D29" s="44"/>
      <c r="E29" s="44"/>
      <c r="F29" s="44"/>
      <c r="G29" s="44"/>
      <c r="H29" s="44"/>
      <c r="I29" s="44"/>
      <c r="J29" s="41"/>
      <c r="K29" s="44"/>
      <c r="L29" s="52">
        <f ca="1">COUNTIF(派生元項目KEY,A29)</f>
        <v>0</v>
      </c>
      <c r="M29" s="52">
        <f ca="1">COUNTIF(区分値項目KEY,A29)</f>
        <v>0</v>
      </c>
      <c r="N29"/>
      <c r="O29"/>
    </row>
    <row r="30" spans="1:15" ht="18" x14ac:dyDescent="0.55000000000000004">
      <c r="A30" s="44"/>
      <c r="B30" s="44"/>
      <c r="C30" s="45" t="str">
        <f t="shared" si="0"/>
        <v/>
      </c>
      <c r="D30" s="44"/>
      <c r="E30" s="44"/>
      <c r="F30" s="44"/>
      <c r="G30" s="44"/>
      <c r="H30" s="44"/>
      <c r="I30" s="44"/>
      <c r="J30" s="41"/>
      <c r="K30" s="44"/>
      <c r="L30" s="52">
        <f ca="1">COUNTIF(派生元項目KEY,A30)</f>
        <v>0</v>
      </c>
      <c r="M30" s="52">
        <f ca="1">COUNTIF(区分値項目KEY,A30)</f>
        <v>0</v>
      </c>
      <c r="N30"/>
      <c r="O30"/>
    </row>
    <row r="31" spans="1:15" ht="18" x14ac:dyDescent="0.55000000000000004">
      <c r="A31" s="44"/>
      <c r="B31" s="44"/>
      <c r="C31" s="45" t="str">
        <f t="shared" si="0"/>
        <v/>
      </c>
      <c r="D31" s="44"/>
      <c r="E31" s="44"/>
      <c r="F31" s="44"/>
      <c r="G31" s="44"/>
      <c r="H31" s="44"/>
      <c r="I31" s="44"/>
      <c r="J31" s="41"/>
      <c r="K31" s="44"/>
      <c r="L31" s="52">
        <f ca="1">COUNTIF(派生元項目KEY,A31)</f>
        <v>0</v>
      </c>
      <c r="M31" s="52">
        <f ca="1">COUNTIF(区分値項目KEY,A31)</f>
        <v>0</v>
      </c>
      <c r="N31"/>
      <c r="O31"/>
    </row>
    <row r="32" spans="1:15" ht="18" x14ac:dyDescent="0.55000000000000004">
      <c r="A32" s="44"/>
      <c r="B32" s="44"/>
      <c r="C32" s="45" t="str">
        <f t="shared" si="0"/>
        <v/>
      </c>
      <c r="D32" s="44"/>
      <c r="E32" s="44"/>
      <c r="F32" s="44"/>
      <c r="G32" s="44"/>
      <c r="H32" s="44"/>
      <c r="I32" s="44"/>
      <c r="J32" s="41"/>
      <c r="K32" s="44"/>
      <c r="L32" s="52">
        <f ca="1">COUNTIF(派生元項目KEY,A32)</f>
        <v>0</v>
      </c>
      <c r="M32" s="52">
        <f ca="1">COUNTIF(区分値項目KEY,A32)</f>
        <v>0</v>
      </c>
      <c r="N32"/>
      <c r="O32"/>
    </row>
    <row r="33" spans="1:15" ht="18" x14ac:dyDescent="0.55000000000000004">
      <c r="A33" s="44"/>
      <c r="B33" s="44"/>
      <c r="C33" s="45" t="str">
        <f t="shared" si="0"/>
        <v/>
      </c>
      <c r="D33" s="44"/>
      <c r="E33" s="44"/>
      <c r="F33" s="44"/>
      <c r="G33" s="44"/>
      <c r="H33" s="44"/>
      <c r="I33" s="44"/>
      <c r="J33" s="41"/>
      <c r="K33" s="44"/>
      <c r="L33" s="52">
        <f ca="1">COUNTIF(派生元項目KEY,A33)</f>
        <v>0</v>
      </c>
      <c r="M33" s="52">
        <f ca="1">COUNTIF(区分値項目KEY,A33)</f>
        <v>0</v>
      </c>
      <c r="N33"/>
      <c r="O33"/>
    </row>
    <row r="34" spans="1:15" ht="18" x14ac:dyDescent="0.55000000000000004">
      <c r="A34" s="44"/>
      <c r="B34" s="44"/>
      <c r="C34" s="45" t="str">
        <f t="shared" si="0"/>
        <v/>
      </c>
      <c r="D34" s="44"/>
      <c r="E34" s="44"/>
      <c r="F34" s="44"/>
      <c r="G34" s="44"/>
      <c r="H34" s="44"/>
      <c r="I34" s="44"/>
      <c r="J34" s="41"/>
      <c r="K34" s="44"/>
      <c r="L34" s="52">
        <f ca="1">COUNTIF(派生元項目KEY,A34)</f>
        <v>0</v>
      </c>
      <c r="M34" s="52">
        <f ca="1">COUNTIF(区分値項目KEY,A34)</f>
        <v>0</v>
      </c>
      <c r="N34"/>
      <c r="O34"/>
    </row>
    <row r="35" spans="1:15" ht="18" x14ac:dyDescent="0.55000000000000004">
      <c r="A35" s="44"/>
      <c r="B35" s="44"/>
      <c r="C35" s="45" t="str">
        <f t="shared" si="0"/>
        <v/>
      </c>
      <c r="D35" s="44"/>
      <c r="E35" s="44"/>
      <c r="F35" s="44"/>
      <c r="G35" s="44"/>
      <c r="H35" s="44"/>
      <c r="I35" s="44"/>
      <c r="J35" s="41"/>
      <c r="K35" s="44"/>
      <c r="L35" s="52">
        <f ca="1">COUNTIF(派生元項目KEY,A35)</f>
        <v>0</v>
      </c>
      <c r="M35" s="52">
        <f ca="1">COUNTIF(区分値項目KEY,A35)</f>
        <v>0</v>
      </c>
      <c r="N35"/>
      <c r="O35"/>
    </row>
    <row r="36" spans="1:15" ht="18" x14ac:dyDescent="0.55000000000000004">
      <c r="A36" s="44"/>
      <c r="B36" s="44"/>
      <c r="C36" s="45" t="str">
        <f t="shared" si="0"/>
        <v/>
      </c>
      <c r="D36" s="44"/>
      <c r="E36" s="44"/>
      <c r="F36" s="44"/>
      <c r="G36" s="44"/>
      <c r="H36" s="44"/>
      <c r="I36" s="44"/>
      <c r="J36" s="41"/>
      <c r="K36" s="44"/>
      <c r="L36" s="52">
        <f ca="1">COUNTIF(派生元項目KEY,A36)</f>
        <v>0</v>
      </c>
      <c r="M36" s="52">
        <f ca="1">COUNTIF(区分値項目KEY,A36)</f>
        <v>0</v>
      </c>
      <c r="N36"/>
      <c r="O36"/>
    </row>
    <row r="37" spans="1:15" ht="18" x14ac:dyDescent="0.55000000000000004">
      <c r="A37" s="44"/>
      <c r="B37" s="44"/>
      <c r="C37" s="45" t="str">
        <f t="shared" si="0"/>
        <v/>
      </c>
      <c r="D37" s="44"/>
      <c r="E37" s="44"/>
      <c r="F37" s="44"/>
      <c r="G37" s="44"/>
      <c r="H37" s="44"/>
      <c r="I37" s="44"/>
      <c r="J37" s="41"/>
      <c r="K37" s="44"/>
      <c r="L37" s="52">
        <f ca="1">COUNTIF(派生元項目KEY,A37)</f>
        <v>0</v>
      </c>
      <c r="M37" s="52">
        <f ca="1">COUNTIF(区分値項目KEY,A37)</f>
        <v>0</v>
      </c>
      <c r="N37"/>
      <c r="O37"/>
    </row>
    <row r="38" spans="1:15" ht="18" x14ac:dyDescent="0.55000000000000004">
      <c r="A38" s="44"/>
      <c r="B38" s="44"/>
      <c r="C38" s="45" t="str">
        <f t="shared" si="0"/>
        <v/>
      </c>
      <c r="D38" s="44"/>
      <c r="E38" s="44"/>
      <c r="F38" s="44"/>
      <c r="G38" s="44"/>
      <c r="H38" s="44"/>
      <c r="I38" s="44"/>
      <c r="J38" s="41"/>
      <c r="K38" s="44"/>
      <c r="L38" s="52">
        <f ca="1">COUNTIF(派生元項目KEY,A38)</f>
        <v>0</v>
      </c>
      <c r="M38" s="52">
        <f ca="1">COUNTIF(区分値項目KEY,A38)</f>
        <v>0</v>
      </c>
      <c r="N38"/>
      <c r="O38"/>
    </row>
    <row r="39" spans="1:15" ht="18" x14ac:dyDescent="0.55000000000000004">
      <c r="A39" s="44"/>
      <c r="B39" s="44"/>
      <c r="C39" s="45" t="str">
        <f t="shared" si="0"/>
        <v/>
      </c>
      <c r="D39" s="44"/>
      <c r="E39" s="44"/>
      <c r="F39" s="44"/>
      <c r="G39" s="44"/>
      <c r="H39" s="44"/>
      <c r="I39" s="44"/>
      <c r="J39" s="41"/>
      <c r="K39" s="44"/>
      <c r="L39" s="52">
        <f ca="1">COUNTIF(派生元項目KEY,A39)</f>
        <v>0</v>
      </c>
      <c r="M39" s="52">
        <f ca="1">COUNTIF(区分値項目KEY,A39)</f>
        <v>0</v>
      </c>
      <c r="N39"/>
      <c r="O39"/>
    </row>
    <row r="40" spans="1:15" ht="18" x14ac:dyDescent="0.55000000000000004">
      <c r="A40" s="44"/>
      <c r="B40" s="44"/>
      <c r="C40" s="45" t="str">
        <f t="shared" si="0"/>
        <v/>
      </c>
      <c r="D40" s="44"/>
      <c r="E40" s="44"/>
      <c r="F40" s="44"/>
      <c r="G40" s="44"/>
      <c r="H40" s="44"/>
      <c r="I40" s="44"/>
      <c r="J40" s="41"/>
      <c r="K40" s="44"/>
      <c r="L40" s="52">
        <f ca="1">COUNTIF(派生元項目KEY,A40)</f>
        <v>0</v>
      </c>
      <c r="M40" s="52">
        <f ca="1">COUNTIF(区分値項目KEY,A40)</f>
        <v>0</v>
      </c>
      <c r="N40"/>
      <c r="O40"/>
    </row>
    <row r="41" spans="1:15" ht="18" x14ac:dyDescent="0.55000000000000004">
      <c r="A41" s="44"/>
      <c r="B41" s="44"/>
      <c r="C41" s="45" t="str">
        <f t="shared" si="0"/>
        <v/>
      </c>
      <c r="D41" s="44"/>
      <c r="E41" s="44"/>
      <c r="F41" s="44"/>
      <c r="G41" s="44"/>
      <c r="H41" s="44"/>
      <c r="I41" s="44"/>
      <c r="J41" s="41"/>
      <c r="K41" s="44"/>
      <c r="L41" s="52">
        <f ca="1">COUNTIF(派生元項目KEY,A41)</f>
        <v>0</v>
      </c>
      <c r="M41" s="52">
        <f ca="1">COUNTIF(区分値項目KEY,A41)</f>
        <v>0</v>
      </c>
      <c r="N41"/>
      <c r="O41"/>
    </row>
    <row r="42" spans="1:15" ht="18" x14ac:dyDescent="0.55000000000000004">
      <c r="A42" s="42"/>
      <c r="B42" s="42"/>
      <c r="C42" s="36" t="str">
        <f t="shared" si="0"/>
        <v/>
      </c>
      <c r="D42" s="42"/>
      <c r="E42" s="42"/>
      <c r="F42" s="42"/>
      <c r="G42" s="42"/>
      <c r="H42" s="42"/>
      <c r="I42" s="42"/>
      <c r="J42" s="43"/>
      <c r="K42" s="42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6"/>
      <c r="B43" s="46"/>
      <c r="C43" s="47" t="str">
        <f t="shared" ref="C2:C49" si="1">camel2snake(B43)</f>
        <v/>
      </c>
      <c r="D43" s="46"/>
      <c r="E43" s="46"/>
      <c r="F43" s="46"/>
      <c r="G43" s="46"/>
      <c r="H43" s="46"/>
      <c r="I43" s="46"/>
      <c r="J43" s="48"/>
      <c r="K43" s="46"/>
      <c r="L43" s="49">
        <f ca="1">COUNTIF(派生元項目KEY,A43)</f>
        <v>0</v>
      </c>
      <c r="M43" s="4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2"/>
      <c r="B49" s="42"/>
      <c r="C49" s="36" t="str">
        <f t="shared" si="1"/>
        <v/>
      </c>
      <c r="D49" s="42"/>
      <c r="E49" s="42"/>
      <c r="F49" s="42"/>
      <c r="G49" s="42"/>
      <c r="H49" s="42"/>
      <c r="I49" s="42"/>
      <c r="J49" s="43"/>
      <c r="K49" s="42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</sheetData>
  <phoneticPr fontId="1"/>
  <conditionalFormatting sqref="D2:D49">
    <cfRule type="expression" dxfId="51" priority="1" stopIfTrue="1">
      <formula>AND(D2&lt;&gt;"",ISNA(MATCH(D2,ドメインタイプKEY,0)))</formula>
    </cfRule>
  </conditionalFormatting>
  <conditionalFormatting sqref="B2:B49 D2:D49 J2:K49">
    <cfRule type="expression" dxfId="50" priority="2" stopIfTrue="1">
      <formula>AND($A2&lt;&gt;"",B2="")</formula>
    </cfRule>
  </conditionalFormatting>
  <conditionalFormatting sqref="F2:G2 G4:G5 F7:G7 G8">
    <cfRule type="containsBlanks" dxfId="49" priority="3" stopIfTrue="1">
      <formula>LEN(TRIM(F2))=0</formula>
    </cfRule>
  </conditionalFormatting>
  <conditionalFormatting sqref="D2:D41">
    <cfRule type="expression" dxfId="41" priority="4" stopIfTrue="1">
      <formula>AND(D2&lt;&gt;"",ISNA(MATCH(D2,ドメインタイプKEY,0)))</formula>
    </cfRule>
    <cfRule type="expression" dxfId="40" priority="9" stopIfTrue="1">
      <formula>AND(D2&lt;&gt;"",ISNA(MATCH(D2,ドメインタイプKEY,0)))</formula>
    </cfRule>
    <cfRule type="expression" dxfId="39" priority="11" stopIfTrue="1">
      <formula>AND(D2&lt;&gt;"",ISNA(MATCH(D2,ドメインタイプKEY,0)))</formula>
    </cfRule>
  </conditionalFormatting>
  <conditionalFormatting sqref="B2:B41 D2:D41 J2:K41">
    <cfRule type="expression" dxfId="38" priority="5" stopIfTrue="1">
      <formula>AND($A2&lt;&gt;"",B2="")</formula>
    </cfRule>
    <cfRule type="expression" dxfId="37" priority="10" stopIfTrue="1">
      <formula>AND($A2&lt;&gt;"",B2="")</formula>
    </cfRule>
    <cfRule type="expression" dxfId="36" priority="12" stopIfTrue="1">
      <formula>AND($A2&lt;&gt;"",B2="")</formula>
    </cfRule>
  </conditionalFormatting>
  <conditionalFormatting sqref="F12:G12">
    <cfRule type="containsBlanks" dxfId="42" priority="6" stopIfTrue="1">
      <formula>LEN(TRIM(F12))=0</formula>
    </cfRule>
  </conditionalFormatting>
  <conditionalFormatting sqref="D2:D42">
    <cfRule type="expression" dxfId="9" priority="7" stopIfTrue="1">
      <formula>AND(D2&lt;&gt;"",ISNA(MATCH(D2,ドメインタイプKEY,0)))</formula>
    </cfRule>
    <cfRule type="expression" dxfId="8" priority="13" stopIfTrue="1">
      <formula>AND(D2&lt;&gt;"",ISNA(MATCH(D2,ドメインタイプKEY,0)))</formula>
    </cfRule>
    <cfRule type="expression" dxfId="7" priority="15" stopIfTrue="1">
      <formula>AND(D2&lt;&gt;"",ISNA(MATCH(D2,ドメインタイプKEY,0)))</formula>
    </cfRule>
    <cfRule type="expression" dxfId="6" priority="17" stopIfTrue="1">
      <formula>AND(D2&lt;&gt;"",ISNA(MATCH(D2,ドメインタイプKEY,0)))</formula>
    </cfRule>
    <cfRule type="expression" dxfId="5" priority="19" stopIfTrue="1">
      <formula>AND(D2&lt;&gt;"",ISNA(MATCH(D2,ドメインタイプKEY,0)))</formula>
    </cfRule>
  </conditionalFormatting>
  <conditionalFormatting sqref="B2:B42 D2:D42 J2:K42">
    <cfRule type="expression" dxfId="4" priority="8" stopIfTrue="1">
      <formula>AND($A2&lt;&gt;"",B2="")</formula>
    </cfRule>
    <cfRule type="expression" dxfId="3" priority="14" stopIfTrue="1">
      <formula>AND($A2&lt;&gt;"",B2="")</formula>
    </cfRule>
    <cfRule type="expression" dxfId="2" priority="16" stopIfTrue="1">
      <formula>AND($A2&lt;&gt;"",B2="")</formula>
    </cfRule>
    <cfRule type="expression" dxfId="1" priority="18" stopIfTrue="1">
      <formula>AND($A2&lt;&gt;"",B2="")</formula>
    </cfRule>
    <cfRule type="expression" dxfId="0" priority="20" stopIfTrue="1">
      <formula>AND($A2&lt;&gt;"",B2="")</formula>
    </cfRule>
  </conditionalFormatting>
  <dataValidations count="15">
    <dataValidation imeMode="on" allowBlank="1" showInputMessage="1" showErrorMessage="1" sqref="K2432:K1048576 A1 K1 A2432:A1048576" xr:uid="{82371562-DA48-418A-B9E1-F875CA10CC30}"/>
    <dataValidation imeMode="off" allowBlank="1" showInputMessage="1" showErrorMessage="1" sqref="E1:J1 B2432:B1048576 B1 E2432:J1048576" xr:uid="{A44170C6-B920-46F2-AEA3-D4E9954343F7}"/>
    <dataValidation type="list" allowBlank="1" showInputMessage="1" showErrorMessage="1" sqref="D43:D49 D2:D42" xr:uid="{6091F766-549A-4FBC-838C-8FA76185EF42}">
      <formula1>ドメインタイプKEY</formula1>
    </dataValidation>
    <dataValidation imeMode="on" allowBlank="1" showInputMessage="1" showErrorMessage="1" sqref="A43:A49 K43:K49" xr:uid="{0BEF8CC8-F5BA-4713-8406-C7BB9B0531E7}"/>
    <dataValidation imeMode="off" allowBlank="1" showInputMessage="1" showErrorMessage="1" sqref="B43:B49" xr:uid="{C5200ECD-B573-42BC-85C6-3C61B66FEA5F}"/>
    <dataValidation imeMode="off" allowBlank="1" showInputMessage="1" showErrorMessage="1" sqref="E2 E4:E5 E7:E8 E12" xr:uid="{9D5CD3DC-AE15-48B7-9D01-38D6CFE4802D}"/>
    <dataValidation type="whole" imeMode="off" allowBlank="1" showInputMessage="1" showErrorMessage="1" error="1-1000の間で入力可能" sqref="F2:G2 F4:G5 F7:G8 F11:G11" xr:uid="{4917835D-FB1A-4F94-A3AD-69AF44453211}">
      <formula1>1</formula1>
      <formula2>1000</formula2>
    </dataValidation>
    <dataValidation type="whole" imeMode="off" allowBlank="1" showInputMessage="1" showErrorMessage="1" error="数値のみ入力可能" sqref="H6:I6 H9:I9" xr:uid="{6F293BC6-92D1-475D-9EDC-2F5A0D382F65}">
      <formula1>-999999999999</formula1>
      <formula2>999999999999</formula2>
    </dataValidation>
    <dataValidation type="textLength" operator="equal" allowBlank="1" showInputMessage="1" showErrorMessage="1" error="入力不可項目です" sqref="H2:I2 E3:I3 H4:I5 E6:G6 H7:I8 H11:I11 E11 E9:G9" xr:uid="{64C8F8BA-8776-446F-B97E-EEDD31559F72}">
      <formula1>0</formula1>
    </dataValidation>
    <dataValidation type="whole" imeMode="off" allowBlank="1" showInputMessage="1" showErrorMessage="1" error="1-1000の間で入力可能" sqref="F12:G12" xr:uid="{A766E0B7-4CB4-4944-A197-584FB11E803C}">
      <formula1>1</formula1>
      <formula2>1000</formula2>
    </dataValidation>
    <dataValidation type="textLength" operator="equal" allowBlank="1" showInputMessage="1" showErrorMessage="1" error="入力不可項目です" sqref="H12:I12" xr:uid="{3F242BF5-911F-4669-93F3-10D31694AA6A}">
      <formula1>0</formula1>
    </dataValidation>
    <dataValidation type="whole" imeMode="off" allowBlank="1" showInputMessage="1" showErrorMessage="1" error="1-1000の間で入力可能" sqref="F10:G10" xr:uid="{F901920E-2A94-4D22-9E8D-77D2C1FB42ED}">
      <formula1>1</formula1>
      <formula2>1000</formula2>
    </dataValidation>
    <dataValidation type="textLength" operator="equal" allowBlank="1" showInputMessage="1" showErrorMessage="1" error="入力不可項目です" sqref="E10 H10:I10" xr:uid="{3B97A354-76A3-4D57-A2F5-206B28EF62B6}">
      <formula1>0</formula1>
    </dataValidation>
    <dataValidation imeMode="on" allowBlank="1" showInputMessage="1" showErrorMessage="1" sqref="A2:A42 K2:K42" xr:uid="{3E4D937F-4355-421F-8C48-8DFBDE0B9AB5}"/>
    <dataValidation imeMode="off" allowBlank="1" showInputMessage="1" showErrorMessage="1" sqref="B2:B42" xr:uid="{FCF7920B-4869-4719-ABE3-00D02E341240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75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4" t="s">
        <v>91</v>
      </c>
      <c r="B2" s="44" t="s">
        <v>126</v>
      </c>
      <c r="C2" s="44" t="s">
        <v>127</v>
      </c>
      <c r="D2" s="45" t="str">
        <f t="shared" ref="D2:D42" si="0">camel2snake(C2)</f>
        <v>order_date</v>
      </c>
      <c r="E2" s="44" t="s">
        <v>126</v>
      </c>
    </row>
    <row r="3" spans="1:5" x14ac:dyDescent="0.55000000000000004">
      <c r="A3" s="44" t="s">
        <v>160</v>
      </c>
      <c r="B3" s="44" t="s">
        <v>164</v>
      </c>
      <c r="C3" s="44" t="s">
        <v>129</v>
      </c>
      <c r="D3" s="45" t="str">
        <f t="shared" si="0"/>
        <v>order_pic</v>
      </c>
      <c r="E3" s="44" t="s">
        <v>128</v>
      </c>
    </row>
    <row r="4" spans="1:5" x14ac:dyDescent="0.55000000000000004">
      <c r="A4" s="44" t="s">
        <v>96</v>
      </c>
      <c r="B4" s="44" t="s">
        <v>130</v>
      </c>
      <c r="C4" s="44" t="s">
        <v>131</v>
      </c>
      <c r="D4" s="45" t="str">
        <f t="shared" si="0"/>
        <v>total_order_price</v>
      </c>
      <c r="E4" s="44" t="s">
        <v>146</v>
      </c>
    </row>
    <row r="5" spans="1:5" x14ac:dyDescent="0.55000000000000004">
      <c r="A5" s="44" t="s">
        <v>96</v>
      </c>
      <c r="B5" s="44" t="s">
        <v>132</v>
      </c>
      <c r="C5" s="44" t="s">
        <v>133</v>
      </c>
      <c r="D5" s="45" t="str">
        <f t="shared" si="0"/>
        <v>cost_price</v>
      </c>
      <c r="E5" s="44" t="s">
        <v>132</v>
      </c>
    </row>
    <row r="6" spans="1:5" x14ac:dyDescent="0.55000000000000004">
      <c r="A6" s="44" t="s">
        <v>92</v>
      </c>
      <c r="B6" s="44" t="s">
        <v>134</v>
      </c>
      <c r="C6" s="44" t="s">
        <v>135</v>
      </c>
      <c r="D6" s="45" t="str">
        <f t="shared" si="0"/>
        <v>receiving_quantity</v>
      </c>
      <c r="E6" s="44" t="s">
        <v>134</v>
      </c>
    </row>
    <row r="7" spans="1:5" x14ac:dyDescent="0.55000000000000004">
      <c r="A7" s="44" t="s">
        <v>92</v>
      </c>
      <c r="B7" s="44" t="s">
        <v>136</v>
      </c>
      <c r="C7" s="44" t="s">
        <v>137</v>
      </c>
      <c r="D7" s="45" t="str">
        <f t="shared" si="0"/>
        <v>shipping_quantity</v>
      </c>
      <c r="E7" s="44" t="s">
        <v>136</v>
      </c>
    </row>
    <row r="8" spans="1:5" x14ac:dyDescent="0.55000000000000004">
      <c r="A8" s="44" t="s">
        <v>92</v>
      </c>
      <c r="B8" s="44" t="s">
        <v>138</v>
      </c>
      <c r="C8" s="44" t="s">
        <v>139</v>
      </c>
      <c r="D8" s="45" t="str">
        <f t="shared" si="0"/>
        <v>cancel_quantity</v>
      </c>
      <c r="E8" s="44" t="s">
        <v>138</v>
      </c>
    </row>
    <row r="9" spans="1:5" x14ac:dyDescent="0.55000000000000004">
      <c r="A9" s="44" t="s">
        <v>92</v>
      </c>
      <c r="B9" s="44" t="s">
        <v>140</v>
      </c>
      <c r="C9" s="44" t="s">
        <v>141</v>
      </c>
      <c r="D9" s="45" t="str">
        <f t="shared" si="0"/>
        <v>remaining_quantity</v>
      </c>
      <c r="E9" s="44" t="s">
        <v>140</v>
      </c>
    </row>
    <row r="10" spans="1:5" x14ac:dyDescent="0.55000000000000004">
      <c r="A10" s="44" t="s">
        <v>96</v>
      </c>
      <c r="B10" s="44" t="s">
        <v>142</v>
      </c>
      <c r="C10" s="44" t="s">
        <v>143</v>
      </c>
      <c r="D10" s="45" t="str">
        <f t="shared" si="0"/>
        <v>sellling_price</v>
      </c>
      <c r="E10" s="44" t="s">
        <v>142</v>
      </c>
    </row>
    <row r="11" spans="1:5" x14ac:dyDescent="0.55000000000000004">
      <c r="A11" s="44" t="s">
        <v>160</v>
      </c>
      <c r="B11" s="44" t="s">
        <v>166</v>
      </c>
      <c r="C11" s="44" t="s">
        <v>167</v>
      </c>
      <c r="D11" s="45" t="str">
        <f t="shared" si="0"/>
        <v>product_pic</v>
      </c>
      <c r="E11" s="44" t="s">
        <v>165</v>
      </c>
    </row>
    <row r="12" spans="1:5" x14ac:dyDescent="0.55000000000000004">
      <c r="A12" s="44"/>
      <c r="B12" s="44"/>
      <c r="C12" s="44"/>
      <c r="D12" s="45" t="str">
        <f t="shared" si="0"/>
        <v/>
      </c>
      <c r="E12" s="44"/>
    </row>
    <row r="13" spans="1:5" x14ac:dyDescent="0.55000000000000004">
      <c r="A13" s="44"/>
      <c r="B13" s="44"/>
      <c r="C13" s="44"/>
      <c r="D13" s="45" t="str">
        <f t="shared" si="0"/>
        <v/>
      </c>
      <c r="E13" s="44"/>
    </row>
    <row r="14" spans="1:5" x14ac:dyDescent="0.55000000000000004">
      <c r="A14" s="44" t="s">
        <v>96</v>
      </c>
      <c r="B14" s="44" t="s">
        <v>144</v>
      </c>
      <c r="C14" s="44" t="s">
        <v>145</v>
      </c>
      <c r="D14" s="45" t="str">
        <f t="shared" si="0"/>
        <v>remaining_order_price</v>
      </c>
      <c r="E14" s="44" t="s">
        <v>144</v>
      </c>
    </row>
    <row r="15" spans="1:5" x14ac:dyDescent="0.55000000000000004">
      <c r="A15" s="44"/>
      <c r="B15" s="44"/>
      <c r="C15" s="44"/>
      <c r="D15" s="45" t="str">
        <f t="shared" si="0"/>
        <v/>
      </c>
      <c r="E15" s="44"/>
    </row>
    <row r="16" spans="1:5" x14ac:dyDescent="0.55000000000000004">
      <c r="A16" s="44"/>
      <c r="B16" s="44"/>
      <c r="C16" s="44"/>
      <c r="D16" s="45" t="str">
        <f t="shared" si="0"/>
        <v/>
      </c>
      <c r="E16" s="44"/>
    </row>
    <row r="17" spans="1:5" x14ac:dyDescent="0.55000000000000004">
      <c r="A17" s="44"/>
      <c r="B17" s="44"/>
      <c r="C17" s="44"/>
      <c r="D17" s="45" t="str">
        <f t="shared" si="0"/>
        <v/>
      </c>
      <c r="E17" s="44"/>
    </row>
    <row r="18" spans="1:5" x14ac:dyDescent="0.55000000000000004">
      <c r="A18" s="44"/>
      <c r="B18" s="44"/>
      <c r="C18" s="44"/>
      <c r="D18" s="45" t="str">
        <f t="shared" si="0"/>
        <v/>
      </c>
      <c r="E18" s="44"/>
    </row>
    <row r="19" spans="1:5" x14ac:dyDescent="0.55000000000000004">
      <c r="A19" s="44"/>
      <c r="B19" s="44"/>
      <c r="C19" s="44"/>
      <c r="D19" s="45" t="str">
        <f t="shared" si="0"/>
        <v/>
      </c>
      <c r="E19" s="44"/>
    </row>
    <row r="20" spans="1:5" x14ac:dyDescent="0.55000000000000004">
      <c r="A20" s="44"/>
      <c r="B20" s="44"/>
      <c r="C20" s="44"/>
      <c r="D20" s="45" t="str">
        <f t="shared" si="0"/>
        <v/>
      </c>
      <c r="E20" s="44"/>
    </row>
    <row r="21" spans="1:5" x14ac:dyDescent="0.55000000000000004">
      <c r="A21" s="44"/>
      <c r="B21" s="44"/>
      <c r="C21" s="44"/>
      <c r="D21" s="45" t="str">
        <f t="shared" si="0"/>
        <v/>
      </c>
      <c r="E21" s="44"/>
    </row>
    <row r="22" spans="1:5" x14ac:dyDescent="0.55000000000000004">
      <c r="A22" s="44"/>
      <c r="B22" s="44"/>
      <c r="C22" s="44"/>
      <c r="D22" s="45" t="str">
        <f t="shared" si="0"/>
        <v/>
      </c>
      <c r="E22" s="44"/>
    </row>
    <row r="23" spans="1:5" x14ac:dyDescent="0.55000000000000004">
      <c r="A23" s="44"/>
      <c r="B23" s="44"/>
      <c r="C23" s="44"/>
      <c r="D23" s="45" t="str">
        <f t="shared" si="0"/>
        <v/>
      </c>
      <c r="E23" s="44"/>
    </row>
    <row r="24" spans="1:5" x14ac:dyDescent="0.55000000000000004">
      <c r="A24" s="44"/>
      <c r="B24" s="44"/>
      <c r="C24" s="44"/>
      <c r="D24" s="45" t="str">
        <f t="shared" si="0"/>
        <v/>
      </c>
      <c r="E24" s="44"/>
    </row>
    <row r="25" spans="1:5" x14ac:dyDescent="0.55000000000000004">
      <c r="A25" s="44"/>
      <c r="B25" s="44"/>
      <c r="C25" s="44"/>
      <c r="D25" s="45" t="str">
        <f t="shared" si="0"/>
        <v/>
      </c>
      <c r="E25" s="44"/>
    </row>
    <row r="26" spans="1:5" x14ac:dyDescent="0.55000000000000004">
      <c r="A26" s="44"/>
      <c r="B26" s="44"/>
      <c r="C26" s="44"/>
      <c r="D26" s="45" t="str">
        <f t="shared" si="0"/>
        <v/>
      </c>
      <c r="E26" s="44"/>
    </row>
    <row r="27" spans="1:5" x14ac:dyDescent="0.55000000000000004">
      <c r="A27" s="44"/>
      <c r="B27" s="44"/>
      <c r="C27" s="44"/>
      <c r="D27" s="45" t="str">
        <f t="shared" si="0"/>
        <v/>
      </c>
      <c r="E27" s="44"/>
    </row>
    <row r="28" spans="1:5" x14ac:dyDescent="0.55000000000000004">
      <c r="A28" s="44"/>
      <c r="B28" s="44"/>
      <c r="C28" s="44"/>
      <c r="D28" s="45" t="str">
        <f t="shared" si="0"/>
        <v/>
      </c>
      <c r="E28" s="44"/>
    </row>
    <row r="29" spans="1:5" x14ac:dyDescent="0.55000000000000004">
      <c r="A29" s="44"/>
      <c r="B29" s="44"/>
      <c r="C29" s="44"/>
      <c r="D29" s="45" t="str">
        <f t="shared" si="0"/>
        <v/>
      </c>
      <c r="E29" s="44"/>
    </row>
    <row r="30" spans="1:5" x14ac:dyDescent="0.55000000000000004">
      <c r="A30" s="44"/>
      <c r="B30" s="44"/>
      <c r="C30" s="44"/>
      <c r="D30" s="45" t="str">
        <f t="shared" si="0"/>
        <v/>
      </c>
      <c r="E30" s="44"/>
    </row>
    <row r="31" spans="1:5" x14ac:dyDescent="0.55000000000000004">
      <c r="A31" s="44"/>
      <c r="B31" s="44"/>
      <c r="C31" s="44"/>
      <c r="D31" s="45" t="str">
        <f t="shared" si="0"/>
        <v/>
      </c>
      <c r="E31" s="44"/>
    </row>
    <row r="32" spans="1:5" x14ac:dyDescent="0.55000000000000004">
      <c r="A32" s="44"/>
      <c r="B32" s="44"/>
      <c r="C32" s="44"/>
      <c r="D32" s="45" t="str">
        <f t="shared" si="0"/>
        <v/>
      </c>
      <c r="E32" s="44"/>
    </row>
    <row r="33" spans="1:5" x14ac:dyDescent="0.55000000000000004">
      <c r="A33" s="44"/>
      <c r="B33" s="44"/>
      <c r="C33" s="44"/>
      <c r="D33" s="45" t="str">
        <f t="shared" si="0"/>
        <v/>
      </c>
      <c r="E33" s="44"/>
    </row>
    <row r="34" spans="1:5" x14ac:dyDescent="0.55000000000000004">
      <c r="A34" s="44"/>
      <c r="B34" s="44"/>
      <c r="C34" s="44"/>
      <c r="D34" s="45" t="str">
        <f t="shared" si="0"/>
        <v/>
      </c>
      <c r="E34" s="44"/>
    </row>
    <row r="35" spans="1:5" x14ac:dyDescent="0.55000000000000004">
      <c r="A35" s="44"/>
      <c r="B35" s="44"/>
      <c r="C35" s="44"/>
      <c r="D35" s="45" t="str">
        <f t="shared" si="0"/>
        <v/>
      </c>
      <c r="E35" s="44"/>
    </row>
    <row r="36" spans="1:5" x14ac:dyDescent="0.55000000000000004">
      <c r="A36" s="44"/>
      <c r="B36" s="44"/>
      <c r="C36" s="44"/>
      <c r="D36" s="45" t="str">
        <f t="shared" si="0"/>
        <v/>
      </c>
      <c r="E36" s="44"/>
    </row>
    <row r="37" spans="1:5" x14ac:dyDescent="0.55000000000000004">
      <c r="A37" s="44"/>
      <c r="B37" s="44"/>
      <c r="C37" s="44"/>
      <c r="D37" s="45" t="str">
        <f t="shared" si="0"/>
        <v/>
      </c>
      <c r="E37" s="44"/>
    </row>
    <row r="38" spans="1:5" x14ac:dyDescent="0.55000000000000004">
      <c r="A38" s="44"/>
      <c r="B38" s="44"/>
      <c r="C38" s="44"/>
      <c r="D38" s="45" t="str">
        <f t="shared" si="0"/>
        <v/>
      </c>
      <c r="E38" s="44"/>
    </row>
    <row r="39" spans="1:5" x14ac:dyDescent="0.55000000000000004">
      <c r="A39" s="44"/>
      <c r="B39" s="44"/>
      <c r="C39" s="44"/>
      <c r="D39" s="45" t="str">
        <f t="shared" si="0"/>
        <v/>
      </c>
      <c r="E39" s="44"/>
    </row>
    <row r="40" spans="1:5" x14ac:dyDescent="0.55000000000000004">
      <c r="A40" s="44"/>
      <c r="B40" s="44"/>
      <c r="C40" s="44"/>
      <c r="D40" s="45" t="str">
        <f t="shared" si="0"/>
        <v/>
      </c>
      <c r="E40" s="44"/>
    </row>
    <row r="41" spans="1:5" x14ac:dyDescent="0.55000000000000004">
      <c r="A41" s="44"/>
      <c r="B41" s="44"/>
      <c r="C41" s="44"/>
      <c r="D41" s="45" t="str">
        <f t="shared" si="0"/>
        <v/>
      </c>
      <c r="E41" s="44"/>
    </row>
    <row r="42" spans="1:5" x14ac:dyDescent="0.55000000000000004">
      <c r="A42" s="42"/>
      <c r="B42" s="42"/>
      <c r="C42" s="42"/>
      <c r="D42" s="36" t="str">
        <f t="shared" si="0"/>
        <v/>
      </c>
      <c r="E42" s="42"/>
    </row>
    <row r="43" spans="1:5" x14ac:dyDescent="0.55000000000000004">
      <c r="A43" s="54"/>
      <c r="B43" s="54"/>
      <c r="C43" s="54"/>
      <c r="D43" s="55" t="str">
        <f t="shared" ref="D2:D44" si="1">camel2snake(C43)</f>
        <v/>
      </c>
      <c r="E43" s="54"/>
    </row>
    <row r="44" spans="1:5" x14ac:dyDescent="0.55000000000000004">
      <c r="A44" s="42"/>
      <c r="B44" s="42"/>
      <c r="C44" s="42"/>
      <c r="D44" s="36" t="str">
        <f t="shared" si="1"/>
        <v/>
      </c>
      <c r="E44" s="42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</sheetData>
  <phoneticPr fontId="1"/>
  <conditionalFormatting sqref="A2:A44">
    <cfRule type="expression" dxfId="46" priority="1" stopIfTrue="1">
      <formula>AND(A2&lt;&gt;"",ISNA(MATCH(A2,項目リスト,0)))</formula>
    </cfRule>
    <cfRule type="expression" dxfId="45" priority="3" stopIfTrue="1">
      <formula>AND(A2&lt;&gt;"",ISNA(MATCH(A2,項目リスト,0)))</formula>
    </cfRule>
  </conditionalFormatting>
  <conditionalFormatting sqref="E2:E44 B2:C44">
    <cfRule type="expression" dxfId="44" priority="2" stopIfTrue="1">
      <formula>AND($A2&lt;&gt;"",B2="")</formula>
    </cfRule>
    <cfRule type="expression" dxfId="43" priority="4" stopIfTrue="1">
      <formula>AND($A2&lt;&gt;"",B2="")</formula>
    </cfRule>
  </conditionalFormatting>
  <conditionalFormatting sqref="A2:A42">
    <cfRule type="expression" dxfId="31" priority="5" stopIfTrue="1">
      <formula>AND(A2&lt;&gt;"",ISNA(MATCH(A2,項目リスト,0)))</formula>
    </cfRule>
    <cfRule type="expression" dxfId="30" priority="7" stopIfTrue="1">
      <formula>AND(A2&lt;&gt;"",ISNA(MATCH(A2,項目リスト,0)))</formula>
    </cfRule>
    <cfRule type="expression" dxfId="29" priority="9" stopIfTrue="1">
      <formula>AND(A2&lt;&gt;"",ISNA(MATCH(A2,項目リスト,0)))</formula>
    </cfRule>
    <cfRule type="expression" dxfId="28" priority="11" stopIfTrue="1">
      <formula>AND(A2&lt;&gt;"",ISNA(MATCH(A2,項目リスト,0)))</formula>
    </cfRule>
    <cfRule type="expression" dxfId="27" priority="13" stopIfTrue="1">
      <formula>AND(A2&lt;&gt;"",ISNA(MATCH(A2,項目リスト,0)))</formula>
    </cfRule>
    <cfRule type="expression" dxfId="26" priority="15" stopIfTrue="1">
      <formula>AND(A2&lt;&gt;"",ISNA(MATCH(A2,項目リスト,0)))</formula>
    </cfRule>
    <cfRule type="expression" dxfId="25" priority="17" stopIfTrue="1">
      <formula>AND(A2&lt;&gt;"",ISNA(MATCH(A2,項目リスト,0)))</formula>
    </cfRule>
    <cfRule type="expression" dxfId="24" priority="19" stopIfTrue="1">
      <formula>AND(A2&lt;&gt;"",ISNA(MATCH(A2,項目リスト,0)))</formula>
    </cfRule>
    <cfRule type="expression" dxfId="23" priority="21" stopIfTrue="1">
      <formula>AND(A2&lt;&gt;"",ISNA(MATCH(A2,項目リスト,0)))</formula>
    </cfRule>
  </conditionalFormatting>
  <conditionalFormatting sqref="E2:E42 B2:C42">
    <cfRule type="expression" dxfId="22" priority="6" stopIfTrue="1">
      <formula>AND($A2&lt;&gt;"",B2="")</formula>
    </cfRule>
    <cfRule type="expression" dxfId="21" priority="8" stopIfTrue="1">
      <formula>AND($A2&lt;&gt;"",B2="")</formula>
    </cfRule>
    <cfRule type="expression" dxfId="20" priority="10" stopIfTrue="1">
      <formula>AND($A2&lt;&gt;"",B2="")</formula>
    </cfRule>
    <cfRule type="expression" dxfId="19" priority="12" stopIfTrue="1">
      <formula>AND($A2&lt;&gt;"",B2="")</formula>
    </cfRule>
    <cfRule type="expression" dxfId="18" priority="14" stopIfTrue="1">
      <formula>AND($A2&lt;&gt;"",B2="")</formula>
    </cfRule>
    <cfRule type="expression" dxfId="17" priority="16" stopIfTrue="1">
      <formula>AND($A2&lt;&gt;"",B2="")</formula>
    </cfRule>
    <cfRule type="expression" dxfId="16" priority="18" stopIfTrue="1">
      <formula>AND($A2&lt;&gt;"",B2="")</formula>
    </cfRule>
    <cfRule type="expression" dxfId="15" priority="20" stopIfTrue="1">
      <formula>AND($A2&lt;&gt;"",B2="")</formula>
    </cfRule>
    <cfRule type="expression" dxfId="14" priority="22" stopIfTrue="1">
      <formula>AND($A2&lt;&gt;"",B2="")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43:A44 A2:A42" xr:uid="{FB9BE42E-68FD-4BF6-B9C0-FA191404D22B}">
      <formula1>項目リスト</formula1>
    </dataValidation>
    <dataValidation imeMode="on" allowBlank="1" showInputMessage="1" showErrorMessage="1" sqref="B43:B44 E43:E44" xr:uid="{292F123B-9131-452C-92F1-474F52E6C8A0}"/>
    <dataValidation imeMode="off" allowBlank="1" showInputMessage="1" showErrorMessage="1" sqref="C43:C44" xr:uid="{EFE6AEEC-0784-465D-8BCF-8855D0040C72}"/>
    <dataValidation imeMode="on" allowBlank="1" showInputMessage="1" showErrorMessage="1" sqref="B2:B42 E2:E42" xr:uid="{58AFF66D-BCA4-4600-A3B2-DDCE0697B98A}"/>
    <dataValidation imeMode="off" allowBlank="1" showInputMessage="1" showErrorMessage="1" sqref="C2:C42" xr:uid="{6F09F05A-BD8A-4373-B9BC-F57A33E98D01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1"/>
  <sheetViews>
    <sheetView showGridLines="0" workbookViewId="0">
      <pane ySplit="1" topLeftCell="A2" activePane="bottomLeft" state="frozen"/>
      <selection activeCell="E5" sqref="E5"/>
      <selection pane="bottomLeft" activeCell="B7" sqref="B7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4" t="s">
        <v>99</v>
      </c>
      <c r="B2" s="44" t="s">
        <v>147</v>
      </c>
      <c r="C2" s="44" t="s">
        <v>148</v>
      </c>
      <c r="D2" s="44" t="s">
        <v>149</v>
      </c>
    </row>
    <row r="3" spans="1:4" x14ac:dyDescent="0.55000000000000004">
      <c r="A3" s="44" t="s">
        <v>99</v>
      </c>
      <c r="B3" s="44" t="s">
        <v>150</v>
      </c>
      <c r="C3" s="44" t="s">
        <v>151</v>
      </c>
      <c r="D3" s="44" t="s">
        <v>152</v>
      </c>
    </row>
    <row r="4" spans="1:4" x14ac:dyDescent="0.55000000000000004">
      <c r="A4" s="44" t="s">
        <v>99</v>
      </c>
      <c r="B4" s="44" t="s">
        <v>124</v>
      </c>
      <c r="C4" s="44" t="s">
        <v>153</v>
      </c>
      <c r="D4" s="44" t="s">
        <v>153</v>
      </c>
    </row>
    <row r="5" spans="1:4" x14ac:dyDescent="0.55000000000000004">
      <c r="A5" s="44" t="s">
        <v>99</v>
      </c>
      <c r="B5" s="44" t="s">
        <v>154</v>
      </c>
      <c r="C5" s="44" t="s">
        <v>155</v>
      </c>
      <c r="D5" s="44" t="s">
        <v>155</v>
      </c>
    </row>
    <row r="6" spans="1:4" x14ac:dyDescent="0.55000000000000004">
      <c r="A6" s="44" t="s">
        <v>168</v>
      </c>
      <c r="B6" s="44" t="s">
        <v>172</v>
      </c>
      <c r="C6" s="44" t="s">
        <v>173</v>
      </c>
      <c r="D6" s="44" t="s">
        <v>174</v>
      </c>
    </row>
    <row r="7" spans="1:4" x14ac:dyDescent="0.55000000000000004">
      <c r="A7" s="44" t="s">
        <v>168</v>
      </c>
      <c r="B7" s="44" t="s">
        <v>175</v>
      </c>
      <c r="C7" s="44" t="s">
        <v>176</v>
      </c>
      <c r="D7" s="44" t="s">
        <v>176</v>
      </c>
    </row>
    <row r="8" spans="1:4" x14ac:dyDescent="0.55000000000000004">
      <c r="A8" s="44" t="s">
        <v>168</v>
      </c>
      <c r="B8" s="44" t="s">
        <v>177</v>
      </c>
      <c r="C8" s="44" t="s">
        <v>178</v>
      </c>
      <c r="D8" s="44" t="s">
        <v>178</v>
      </c>
    </row>
    <row r="9" spans="1:4" x14ac:dyDescent="0.55000000000000004">
      <c r="A9" s="44" t="s">
        <v>168</v>
      </c>
      <c r="B9" s="44" t="s">
        <v>179</v>
      </c>
      <c r="C9" s="44" t="s">
        <v>180</v>
      </c>
      <c r="D9" s="44" t="s">
        <v>180</v>
      </c>
    </row>
    <row r="10" spans="1:4" x14ac:dyDescent="0.55000000000000004">
      <c r="A10" s="44"/>
      <c r="B10" s="44"/>
      <c r="C10" s="44"/>
      <c r="D10" s="44"/>
    </row>
    <row r="11" spans="1:4" x14ac:dyDescent="0.55000000000000004">
      <c r="A11" s="44"/>
      <c r="B11" s="44"/>
      <c r="C11" s="44"/>
      <c r="D11" s="44"/>
    </row>
    <row r="12" spans="1:4" x14ac:dyDescent="0.55000000000000004">
      <c r="A12" s="44"/>
      <c r="B12" s="44"/>
      <c r="C12" s="44"/>
      <c r="D12" s="44"/>
    </row>
    <row r="13" spans="1:4" x14ac:dyDescent="0.55000000000000004">
      <c r="A13" s="44"/>
      <c r="B13" s="44"/>
      <c r="C13" s="44"/>
      <c r="D13" s="44"/>
    </row>
    <row r="14" spans="1:4" x14ac:dyDescent="0.55000000000000004">
      <c r="A14" s="44"/>
      <c r="B14" s="44"/>
      <c r="C14" s="44"/>
      <c r="D14" s="44"/>
    </row>
    <row r="15" spans="1:4" x14ac:dyDescent="0.55000000000000004">
      <c r="A15" s="44"/>
      <c r="B15" s="44"/>
      <c r="C15" s="44"/>
      <c r="D15" s="44"/>
    </row>
    <row r="16" spans="1:4" x14ac:dyDescent="0.55000000000000004">
      <c r="A16" s="44"/>
      <c r="B16" s="44"/>
      <c r="C16" s="44"/>
      <c r="D16" s="44"/>
    </row>
    <row r="17" spans="1:4" x14ac:dyDescent="0.55000000000000004">
      <c r="A17" s="44"/>
      <c r="B17" s="44"/>
      <c r="C17" s="44"/>
      <c r="D17" s="44"/>
    </row>
    <row r="18" spans="1:4" x14ac:dyDescent="0.55000000000000004">
      <c r="A18" s="44"/>
      <c r="B18" s="44"/>
      <c r="C18" s="44"/>
      <c r="D18" s="44"/>
    </row>
    <row r="19" spans="1:4" x14ac:dyDescent="0.55000000000000004">
      <c r="A19" s="44"/>
      <c r="B19" s="44"/>
      <c r="C19" s="44"/>
      <c r="D19" s="44"/>
    </row>
    <row r="20" spans="1:4" x14ac:dyDescent="0.55000000000000004">
      <c r="A20" s="44"/>
      <c r="B20" s="44"/>
      <c r="C20" s="44"/>
      <c r="D20" s="44"/>
    </row>
    <row r="21" spans="1:4" x14ac:dyDescent="0.55000000000000004">
      <c r="A21" s="44"/>
      <c r="B21" s="44"/>
      <c r="C21" s="44"/>
      <c r="D21" s="44"/>
    </row>
    <row r="22" spans="1:4" x14ac:dyDescent="0.55000000000000004">
      <c r="A22" s="44"/>
      <c r="B22" s="44"/>
      <c r="C22" s="44"/>
      <c r="D22" s="44"/>
    </row>
    <row r="23" spans="1:4" x14ac:dyDescent="0.55000000000000004">
      <c r="A23" s="44"/>
      <c r="B23" s="44"/>
      <c r="C23" s="44"/>
      <c r="D23" s="44"/>
    </row>
    <row r="24" spans="1:4" x14ac:dyDescent="0.55000000000000004">
      <c r="A24" s="44"/>
      <c r="B24" s="44"/>
      <c r="C24" s="44"/>
      <c r="D24" s="44"/>
    </row>
    <row r="25" spans="1:4" x14ac:dyDescent="0.55000000000000004">
      <c r="A25" s="44"/>
      <c r="B25" s="44"/>
      <c r="C25" s="44"/>
      <c r="D25" s="44"/>
    </row>
    <row r="26" spans="1:4" x14ac:dyDescent="0.55000000000000004">
      <c r="A26" s="44"/>
      <c r="B26" s="44"/>
      <c r="C26" s="44"/>
      <c r="D26" s="44"/>
    </row>
    <row r="27" spans="1:4" x14ac:dyDescent="0.55000000000000004">
      <c r="A27" s="44"/>
      <c r="B27" s="44"/>
      <c r="C27" s="44"/>
      <c r="D27" s="44"/>
    </row>
    <row r="28" spans="1:4" x14ac:dyDescent="0.55000000000000004">
      <c r="A28" s="44"/>
      <c r="B28" s="44"/>
      <c r="C28" s="44"/>
      <c r="D28" s="44"/>
    </row>
    <row r="29" spans="1:4" x14ac:dyDescent="0.55000000000000004">
      <c r="A29" s="44"/>
      <c r="B29" s="44"/>
      <c r="C29" s="44"/>
      <c r="D29" s="44"/>
    </row>
    <row r="30" spans="1:4" x14ac:dyDescent="0.55000000000000004">
      <c r="A30" s="44"/>
      <c r="B30" s="44"/>
      <c r="C30" s="44"/>
      <c r="D30" s="44"/>
    </row>
    <row r="31" spans="1:4" x14ac:dyDescent="0.55000000000000004">
      <c r="A31" s="44"/>
      <c r="B31" s="44"/>
      <c r="C31" s="44"/>
      <c r="D31" s="44"/>
    </row>
    <row r="32" spans="1:4" x14ac:dyDescent="0.55000000000000004">
      <c r="A32" s="44"/>
      <c r="B32" s="44"/>
      <c r="C32" s="44"/>
      <c r="D32" s="44"/>
    </row>
    <row r="33" spans="1:4" x14ac:dyDescent="0.55000000000000004">
      <c r="A33" s="44"/>
      <c r="B33" s="44"/>
      <c r="C33" s="44"/>
      <c r="D33" s="44"/>
    </row>
    <row r="34" spans="1:4" x14ac:dyDescent="0.55000000000000004">
      <c r="A34" s="44"/>
      <c r="B34" s="44"/>
      <c r="C34" s="44"/>
      <c r="D34" s="44"/>
    </row>
    <row r="35" spans="1:4" x14ac:dyDescent="0.55000000000000004">
      <c r="A35" s="44"/>
      <c r="B35" s="44"/>
      <c r="C35" s="44"/>
      <c r="D35" s="44"/>
    </row>
    <row r="36" spans="1:4" x14ac:dyDescent="0.55000000000000004">
      <c r="A36" s="44"/>
      <c r="B36" s="44"/>
      <c r="C36" s="44"/>
      <c r="D36" s="44"/>
    </row>
    <row r="37" spans="1:4" x14ac:dyDescent="0.55000000000000004">
      <c r="A37" s="44"/>
      <c r="B37" s="44"/>
      <c r="C37" s="44"/>
      <c r="D37" s="44"/>
    </row>
    <row r="38" spans="1:4" x14ac:dyDescent="0.55000000000000004">
      <c r="A38" s="44"/>
      <c r="B38" s="44"/>
      <c r="C38" s="44"/>
      <c r="D38" s="44"/>
    </row>
    <row r="39" spans="1:4" x14ac:dyDescent="0.55000000000000004">
      <c r="A39" s="42"/>
      <c r="B39" s="42"/>
      <c r="C39" s="42"/>
      <c r="D39" s="42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</sheetData>
  <phoneticPr fontId="1"/>
  <conditionalFormatting sqref="A2:A35">
    <cfRule type="expression" dxfId="35" priority="1" stopIfTrue="1">
      <formula>AND(A2&lt;&gt;"",ISNA(MATCH(A2,区分値リスト,0)))</formula>
    </cfRule>
    <cfRule type="expression" dxfId="34" priority="3" stopIfTrue="1">
      <formula>AND(A2&lt;&gt;"",ISNA(MATCH(A2,区分値リスト,0)))</formula>
    </cfRule>
  </conditionalFormatting>
  <conditionalFormatting sqref="B2:D35">
    <cfRule type="expression" dxfId="33" priority="2" stopIfTrue="1">
      <formula>AND($A2&lt;&gt;"",B2="")</formula>
    </cfRule>
    <cfRule type="expression" dxfId="32" priority="4" stopIfTrue="1">
      <formula>AND($A2&lt;&gt;"",B2="")</formula>
    </cfRule>
  </conditionalFormatting>
  <conditionalFormatting sqref="A2:A39">
    <cfRule type="expression" dxfId="13" priority="5" stopIfTrue="1">
      <formula>AND(A2&lt;&gt;"",ISNA(MATCH(A2,区分値リスト,0)))</formula>
    </cfRule>
    <cfRule type="expression" dxfId="12" priority="7" stopIfTrue="1">
      <formula>AND(A2&lt;&gt;"",ISNA(MATCH(A2,区分値リスト,0)))</formula>
    </cfRule>
  </conditionalFormatting>
  <conditionalFormatting sqref="B2:D39">
    <cfRule type="expression" dxfId="11" priority="6" stopIfTrue="1">
      <formula>AND($A2&lt;&gt;"",B2="")</formula>
    </cfRule>
    <cfRule type="expression" dxfId="10" priority="8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9" xr:uid="{6023A3D2-5A66-44B7-90D4-13F3190857F7}">
      <formula1>区分値リスト</formula1>
    </dataValidation>
    <dataValidation imeMode="on" allowBlank="1" showInputMessage="1" showErrorMessage="1" sqref="C2:D39" xr:uid="{46ADEE8C-79CF-4DC3-A6B0-B3E1F103FB72}"/>
    <dataValidation imeMode="off" allowBlank="1" showInputMessage="1" showErrorMessage="1" sqref="B2:B39" xr:uid="{340566F0-5B68-4182-927D-9008E1A8DEF3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54" priority="1" operator="equal">
      <formula>0</formula>
    </cfRule>
    <cfRule type="cellIs" dxfId="53" priority="2" operator="lessThan">
      <formula>0</formula>
    </cfRule>
    <cfRule type="cellIs" dxfId="52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12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156</v>
      </c>
      <c r="F2" t="s">
        <v>171</v>
      </c>
    </row>
    <row r="3" spans="1:6" x14ac:dyDescent="0.55000000000000004">
      <c r="B3" s="25" t="s">
        <v>75</v>
      </c>
      <c r="D3" t="s">
        <v>91</v>
      </c>
      <c r="F3" t="s">
        <v>99</v>
      </c>
    </row>
    <row r="4" spans="1:6" x14ac:dyDescent="0.55000000000000004">
      <c r="D4" t="s">
        <v>157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96</v>
      </c>
    </row>
    <row r="7" spans="1:6" x14ac:dyDescent="0.55000000000000004">
      <c r="A7" t="s">
        <v>82</v>
      </c>
      <c r="B7" s="27" t="s">
        <v>83</v>
      </c>
      <c r="D7" t="s">
        <v>97</v>
      </c>
    </row>
    <row r="8" spans="1:6" x14ac:dyDescent="0.55000000000000004">
      <c r="D8" t="s">
        <v>98</v>
      </c>
    </row>
    <row r="9" spans="1:6" x14ac:dyDescent="0.55000000000000004">
      <c r="D9" t="s">
        <v>92</v>
      </c>
    </row>
    <row r="10" spans="1:6" x14ac:dyDescent="0.55000000000000004">
      <c r="D10" t="s">
        <v>168</v>
      </c>
    </row>
    <row r="11" spans="1:6" x14ac:dyDescent="0.55000000000000004">
      <c r="D11" t="s">
        <v>99</v>
      </c>
    </row>
    <row r="12" spans="1:6" x14ac:dyDescent="0.55000000000000004">
      <c r="D12" t="s">
        <v>159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2024-12-10T09:36:01Z</dcterms:modified>
</cp:coreProperties>
</file>
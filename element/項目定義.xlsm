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-schemas\element\"/>
    </mc:Choice>
  </mc:AlternateContent>
  <xr:revisionPtr revIDLastSave="0" documentId="13_ncr:1_{844B6FFE-C6B6-4056-BD40-3A20AEDFC4EF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C2" i="3"/>
  <c r="C10" i="3"/>
  <c r="C18" i="3"/>
  <c r="C26" i="3"/>
  <c r="C34" i="3"/>
  <c r="C42" i="3"/>
  <c r="C3" i="3"/>
  <c r="C11" i="3"/>
  <c r="C19" i="3"/>
  <c r="C27" i="3"/>
  <c r="C35" i="3"/>
  <c r="C4" i="3"/>
  <c r="C12" i="3"/>
  <c r="C20" i="3"/>
  <c r="C28" i="3"/>
  <c r="C36" i="3"/>
  <c r="C5" i="3"/>
  <c r="C13" i="3"/>
  <c r="C21" i="3"/>
  <c r="C29" i="3"/>
  <c r="C37" i="3"/>
  <c r="C6" i="3"/>
  <c r="C14" i="3"/>
  <c r="C22" i="3"/>
  <c r="C30" i="3"/>
  <c r="C38" i="3"/>
  <c r="C7" i="3"/>
  <c r="C15" i="3"/>
  <c r="C23" i="3"/>
  <c r="C31" i="3"/>
  <c r="C39" i="3"/>
  <c r="C8" i="3"/>
  <c r="C16" i="3"/>
  <c r="C24" i="3"/>
  <c r="C32" i="3"/>
  <c r="C40" i="3"/>
  <c r="C9" i="3"/>
  <c r="C17" i="3"/>
  <c r="C25" i="3"/>
  <c r="C33" i="3"/>
  <c r="C41" i="3"/>
  <c r="D2" i="5"/>
  <c r="D10" i="5"/>
  <c r="D18" i="5"/>
  <c r="D26" i="5"/>
  <c r="D34" i="5"/>
  <c r="D42" i="5"/>
  <c r="D3" i="5"/>
  <c r="D11" i="5"/>
  <c r="D19" i="5"/>
  <c r="D27" i="5"/>
  <c r="D35" i="5"/>
  <c r="D4" i="5"/>
  <c r="D12" i="5"/>
  <c r="D20" i="5"/>
  <c r="D28" i="5"/>
  <c r="D36" i="5"/>
  <c r="D5" i="5"/>
  <c r="D13" i="5"/>
  <c r="D21" i="5"/>
  <c r="D29" i="5"/>
  <c r="D37" i="5"/>
  <c r="D6" i="5"/>
  <c r="D14" i="5"/>
  <c r="D22" i="5"/>
  <c r="D30" i="5"/>
  <c r="D38" i="5"/>
  <c r="D7" i="5"/>
  <c r="D15" i="5"/>
  <c r="D23" i="5"/>
  <c r="D31" i="5"/>
  <c r="D39" i="5"/>
  <c r="D9" i="5"/>
  <c r="D17" i="5"/>
  <c r="D25" i="5"/>
  <c r="D33" i="5"/>
  <c r="D41" i="5"/>
  <c r="D8" i="5"/>
  <c r="D16" i="5"/>
  <c r="D24" i="5"/>
  <c r="D32" i="5"/>
  <c r="D40" i="5"/>
</calcChain>
</file>

<file path=xl/sharedStrings.xml><?xml version="1.0" encoding="utf-8"?>
<sst xmlns="http://schemas.openxmlformats.org/spreadsheetml/2006/main" count="295" uniqueCount="176">
  <si>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</si>
  <si>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</si>
  <si>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</si>
  <si>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</si>
  <si>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</si>
  <si>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</si>
  <si>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</si>
  <si>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</si>
  <si>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</si>
  <si>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</si>
  <si>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</si>
  <si>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</si>
  <si>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</si>
  <si>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</si>
  <si>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</si>
  <si>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</si>
  <si>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</si>
  <si>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</si>
  <si>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</si>
  <si>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</si>
  <si>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</si>
  <si>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</si>
  <si>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</si>
  <si>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</si>
  <si>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</si>
  <si>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</si>
  <si>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</si>
  <si>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</si>
  <si>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</si>
  <si>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</si>
  <si>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</si>
  <si>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</si>
  <si>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</si>
  <si>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</si>
  <si>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</si>
  <si>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</si>
  <si>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</si>
  <si>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</si>
  <si>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</si>
  <si>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</si>
  <si>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</si>
  <si>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</si>
  <si>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</si>
  <si>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</si>
  <si>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</si>
  <si>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</si>
  <si>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</si>
  <si>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</si>
  <si>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</si>
  <si>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</si>
  <si>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</si>
  <si>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</si>
  <si>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</si>
  <si>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</si>
  <si>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</si>
  <si>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</si>
  <si>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</si>
  <si>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</si>
  <si>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</si>
  <si>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</si>
  <si>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</si>
  <si>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</si>
  <si>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</si>
  <si>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</si>
  <si>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</si>
  <si>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</si>
  <si>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</si>
  <si>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</si>
  <si>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</si>
  <si>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</si>
  <si>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</si>
  <si>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</si>
  <si>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</si>
  <si>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</si>
  <si>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</si>
  <si>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</si>
  <si>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</si>
  <si>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</si>
  <si>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</si>
  <si>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</si>
  <si>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</si>
  <si>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</si>
  <si>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</si>
  <si>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</si>
  <si>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</si>
  <si>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</si>
  <si>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</si>
  <si>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</si>
  <si>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</si>
  <si>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</si>
  <si>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NOKEY</t>
  </si>
  <si>
    <t>日付</t>
  </si>
  <si>
    <t>数量</t>
  </si>
  <si>
    <t>sysDate</t>
  </si>
  <si>
    <t>2024-03-15</t>
  </si>
  <si>
    <t>得意先名称</t>
  </si>
  <si>
    <t>金額</t>
  </si>
  <si>
    <t>商品ID</t>
  </si>
  <si>
    <t>商品名</t>
  </si>
  <si>
    <t>受注ステータス</t>
  </si>
  <si>
    <t>受注番号</t>
  </si>
  <si>
    <t>orderNo</t>
  </si>
  <si>
    <t>operatorName</t>
  </si>
  <si>
    <t>customerName</t>
  </si>
  <si>
    <t>price</t>
  </si>
  <si>
    <t>productId</t>
  </si>
  <si>
    <t>productName</t>
  </si>
  <si>
    <t>quantity</t>
  </si>
  <si>
    <t>orderStatus</t>
  </si>
  <si>
    <t>^RO-[0-9]{7}$</t>
  </si>
  <si>
    <t>RO-0000023</t>
  </si>
  <si>
    <t>文字列</t>
  </si>
  <si>
    <t>織田信長</t>
  </si>
  <si>
    <t>担当者名称</t>
  </si>
  <si>
    <t>徳川商事株式会社</t>
  </si>
  <si>
    <t>受注先企業名</t>
  </si>
  <si>
    <t>整数</t>
  </si>
  <si>
    <t>15000</t>
  </si>
  <si>
    <t>^P[0-9]{4}$</t>
  </si>
  <si>
    <t>P0001</t>
  </si>
  <si>
    <t>日本刀</t>
  </si>
  <si>
    <t>商品名称</t>
  </si>
  <si>
    <t>13</t>
  </si>
  <si>
    <t>区分値</t>
  </si>
  <si>
    <t>COMPLETED</t>
  </si>
  <si>
    <t>受注状況</t>
  </si>
  <si>
    <t>受注日</t>
  </si>
  <si>
    <t>orderDate</t>
  </si>
  <si>
    <t>受注担当者名</t>
  </si>
  <si>
    <t>orderPIC</t>
  </si>
  <si>
    <t>受注金額</t>
  </si>
  <si>
    <t>totalOrderPrice</t>
  </si>
  <si>
    <t>商品原価</t>
  </si>
  <si>
    <t>costPrice</t>
  </si>
  <si>
    <t>受注数</t>
  </si>
  <si>
    <t>receivingQuantity</t>
  </si>
  <si>
    <t>出荷数</t>
  </si>
  <si>
    <t>shippingQuantity</t>
  </si>
  <si>
    <t>キャンセル数</t>
  </si>
  <si>
    <t>cancelQuantity</t>
  </si>
  <si>
    <t>受注残数</t>
  </si>
  <si>
    <t>remainingQuantity</t>
  </si>
  <si>
    <t>販売単価</t>
  </si>
  <si>
    <t>selllingPrice</t>
  </si>
  <si>
    <t>受注残額</t>
  </si>
  <si>
    <t>remainingOrderPrice</t>
  </si>
  <si>
    <t>受注総額</t>
  </si>
  <si>
    <t>WORK_IN_PROGRESS</t>
  </si>
  <si>
    <t>仕掛かり</t>
  </si>
  <si>
    <t>受注残あり</t>
  </si>
  <si>
    <t>CANCELED</t>
  </si>
  <si>
    <t>キャンセル</t>
  </si>
  <si>
    <t>キャンセル(すべてキャンセルになった場合)</t>
  </si>
  <si>
    <t>出荷完了</t>
  </si>
  <si>
    <t>PREPARING</t>
  </si>
  <si>
    <t>準備中</t>
  </si>
  <si>
    <t>受注番号</t>
    <phoneticPr fontId="1"/>
  </si>
  <si>
    <t>担当者名</t>
  </si>
  <si>
    <t>担当者ID</t>
  </si>
  <si>
    <t>商品ステータス</t>
  </si>
  <si>
    <t>商品ステータス</t>
    <phoneticPr fontId="1"/>
  </si>
  <si>
    <t>productStatus</t>
  </si>
  <si>
    <t>operatorId</t>
  </si>
  <si>
    <t>ON_SALE</t>
  </si>
  <si>
    <t>商品状況</t>
  </si>
  <si>
    <t>^U[0-9]{4}$</t>
  </si>
  <si>
    <t>U0100</t>
  </si>
  <si>
    <t>受注担当者ID</t>
  </si>
  <si>
    <t>商品管理者ID</t>
  </si>
  <si>
    <t>productPIC</t>
  </si>
  <si>
    <t>商品担当者ID</t>
  </si>
  <si>
    <t>販売中</t>
  </si>
  <si>
    <t>END_OF_SALE</t>
  </si>
  <si>
    <t>販売終了</t>
  </si>
  <si>
    <t>SUSPENDED</t>
  </si>
  <si>
    <t>一時中止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</si>
</sst>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4" fillId="5" borderId="12" xfId="0" applyFont="1" applyFill="1" applyBorder="1">
      <alignment vertical="center"/>
    </xf>
    <xf numFmtId="178" fontId="4" fillId="5" borderId="12" xfId="0" applyNumberFormat="1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0" fontId="4" fillId="0" borderId="12" xfId="0" applyFont="1" applyFill="1" applyBorder="1">
      <alignment vertical="center"/>
    </xf>
    <xf numFmtId="179" fontId="4" fillId="0" borderId="12" xfId="0" applyNumberFormat="1" applyFont="1" applyFill="1" applyBorder="1">
      <alignment vertical="center"/>
    </xf>
    <xf numFmtId="0" fontId="4" fillId="7" borderId="12" xfId="0" applyNumberFormat="1" applyFont="1" applyFill="1" applyBorder="1">
      <alignment vertical="center"/>
    </xf>
  </cellXfs>
  <cellStyles count="1">
    <cellStyle name="標準" xfId="0" builtinId="0"/>
  </cellStyles>
  <dxfs count="68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32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K11" sqref="K11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43" t="s">
        <v>100</v>
      </c>
      <c r="B2" s="43" t="s">
        <v>101</v>
      </c>
      <c r="C2" s="38" t="str">
        <f t="shared" ref="C2:C42" si="0">camel2snake(B2)</f>
        <v>order_no</v>
      </c>
      <c r="D2" s="43" t="s">
        <v>90</v>
      </c>
      <c r="E2" s="40" t="s">
        <v>109</v>
      </c>
      <c r="F2" s="44">
        <v>10</v>
      </c>
      <c r="G2" s="44">
        <v>10</v>
      </c>
      <c r="H2" s="45"/>
      <c r="I2" s="45"/>
      <c r="J2" s="40" t="s">
        <v>110</v>
      </c>
      <c r="K2" s="43" t="s">
        <v>100</v>
      </c>
      <c r="L2" s="39">
        <f ca="1">COUNTIF(派生元項目KEY,A2)</f>
        <v>0</v>
      </c>
      <c r="M2" s="39">
        <f ca="1">COUNTIF(区分値項目KEY,A2)</f>
        <v>0</v>
      </c>
      <c r="N2"/>
      <c r="O2"/>
    </row>
    <row r="3" spans="1:15" ht="18" x14ac:dyDescent="0.55000000000000004">
      <c r="A3" s="43" t="s">
        <v>91</v>
      </c>
      <c r="B3" s="43" t="s">
        <v>93</v>
      </c>
      <c r="C3" s="38" t="str">
        <f t="shared" si="0"/>
        <v>sys_date</v>
      </c>
      <c r="D3" s="43" t="s">
        <v>91</v>
      </c>
      <c r="E3" s="45"/>
      <c r="F3" s="45"/>
      <c r="G3" s="45"/>
      <c r="H3" s="45"/>
      <c r="I3" s="45"/>
      <c r="J3" s="40" t="s">
        <v>94</v>
      </c>
      <c r="K3" s="43" t="s">
        <v>91</v>
      </c>
      <c r="L3" s="39">
        <f ca="1">COUNTIF(派生元項目KEY,A3)</f>
        <v>1</v>
      </c>
      <c r="M3" s="39">
        <f ca="1">COUNTIF(区分値項目KEY,A3)</f>
        <v>0</v>
      </c>
      <c r="N3"/>
      <c r="O3"/>
    </row>
    <row r="4" spans="1:15" ht="18" x14ac:dyDescent="0.55000000000000004">
      <c r="A4" s="43" t="s">
        <v>157</v>
      </c>
      <c r="B4" s="43" t="s">
        <v>102</v>
      </c>
      <c r="C4" s="38" t="str">
        <f t="shared" si="0"/>
        <v>operator_name</v>
      </c>
      <c r="D4" s="43" t="s">
        <v>111</v>
      </c>
      <c r="E4" s="40"/>
      <c r="F4" s="44">
        <v>3</v>
      </c>
      <c r="G4" s="44">
        <v>30</v>
      </c>
      <c r="H4" s="45"/>
      <c r="I4" s="45"/>
      <c r="J4" s="40" t="s">
        <v>112</v>
      </c>
      <c r="K4" s="43" t="s">
        <v>113</v>
      </c>
      <c r="L4" s="39">
        <f ca="1">COUNTIF(派生元項目KEY,A4)</f>
        <v>0</v>
      </c>
      <c r="M4" s="39">
        <f ca="1">COUNTIF(区分値項目KEY,A4)</f>
        <v>0</v>
      </c>
      <c r="N4"/>
      <c r="O4"/>
    </row>
    <row r="5" spans="1:15" ht="18" x14ac:dyDescent="0.55000000000000004">
      <c r="A5" s="43" t="s">
        <v>95</v>
      </c>
      <c r="B5" s="43" t="s">
        <v>103</v>
      </c>
      <c r="C5" s="38" t="str">
        <f t="shared" si="0"/>
        <v>customer_name</v>
      </c>
      <c r="D5" s="43" t="s">
        <v>111</v>
      </c>
      <c r="E5" s="40"/>
      <c r="F5" s="44"/>
      <c r="G5" s="44">
        <v>50</v>
      </c>
      <c r="H5" s="45"/>
      <c r="I5" s="45"/>
      <c r="J5" s="40" t="s">
        <v>114</v>
      </c>
      <c r="K5" s="43" t="s">
        <v>115</v>
      </c>
      <c r="L5" s="39">
        <f ca="1">COUNTIF(派生元項目KEY,A5)</f>
        <v>0</v>
      </c>
      <c r="M5" s="39">
        <f ca="1">COUNTIF(区分値項目KEY,A5)</f>
        <v>0</v>
      </c>
      <c r="N5"/>
      <c r="O5"/>
    </row>
    <row r="6" spans="1:15" ht="18" x14ac:dyDescent="0.55000000000000004">
      <c r="A6" s="43" t="s">
        <v>96</v>
      </c>
      <c r="B6" s="43" t="s">
        <v>104</v>
      </c>
      <c r="C6" s="38" t="str">
        <f t="shared" si="0"/>
        <v>price</v>
      </c>
      <c r="D6" s="43" t="s">
        <v>116</v>
      </c>
      <c r="E6" s="45"/>
      <c r="F6" s="45"/>
      <c r="G6" s="45"/>
      <c r="H6" s="44">
        <v>0</v>
      </c>
      <c r="I6" s="44">
        <v>9999999</v>
      </c>
      <c r="J6" s="40" t="s">
        <v>117</v>
      </c>
      <c r="K6" s="43" t="s">
        <v>96</v>
      </c>
      <c r="L6" s="39">
        <f ca="1">COUNTIF(派生元項目KEY,A6)</f>
        <v>4</v>
      </c>
      <c r="M6" s="39">
        <f ca="1">COUNTIF(区分値項目KEY,A6)</f>
        <v>0</v>
      </c>
      <c r="N6"/>
      <c r="O6"/>
    </row>
    <row r="7" spans="1:15" ht="18" x14ac:dyDescent="0.55000000000000004">
      <c r="A7" s="43" t="s">
        <v>97</v>
      </c>
      <c r="B7" s="43" t="s">
        <v>105</v>
      </c>
      <c r="C7" s="38" t="str">
        <f t="shared" si="0"/>
        <v>product_id</v>
      </c>
      <c r="D7" s="43" t="s">
        <v>90</v>
      </c>
      <c r="E7" s="40" t="s">
        <v>118</v>
      </c>
      <c r="F7" s="44">
        <v>5</v>
      </c>
      <c r="G7" s="44">
        <v>5</v>
      </c>
      <c r="H7" s="45"/>
      <c r="I7" s="45"/>
      <c r="J7" s="40" t="s">
        <v>119</v>
      </c>
      <c r="K7" s="43" t="s">
        <v>97</v>
      </c>
      <c r="L7" s="39">
        <f ca="1">COUNTIF(派生元項目KEY,A7)</f>
        <v>0</v>
      </c>
      <c r="M7" s="39">
        <f ca="1">COUNTIF(区分値項目KEY,A7)</f>
        <v>0</v>
      </c>
      <c r="N7"/>
      <c r="O7"/>
    </row>
    <row r="8" spans="1:15" ht="18" x14ac:dyDescent="0.55000000000000004">
      <c r="A8" s="43" t="s">
        <v>98</v>
      </c>
      <c r="B8" s="43" t="s">
        <v>106</v>
      </c>
      <c r="C8" s="38" t="str">
        <f t="shared" si="0"/>
        <v>product_name</v>
      </c>
      <c r="D8" s="43" t="s">
        <v>111</v>
      </c>
      <c r="E8" s="40"/>
      <c r="F8" s="44"/>
      <c r="G8" s="44">
        <v>30</v>
      </c>
      <c r="H8" s="45"/>
      <c r="I8" s="45"/>
      <c r="J8" s="40" t="s">
        <v>120</v>
      </c>
      <c r="K8" s="43" t="s">
        <v>121</v>
      </c>
      <c r="L8" s="39">
        <f ca="1">COUNTIF(派生元項目KEY,A8)</f>
        <v>0</v>
      </c>
      <c r="M8" s="39">
        <f ca="1">COUNTIF(区分値項目KEY,A8)</f>
        <v>0</v>
      </c>
      <c r="N8"/>
      <c r="O8"/>
    </row>
    <row r="9" spans="1:15" ht="18" x14ac:dyDescent="0.55000000000000004">
      <c r="A9" s="43" t="s">
        <v>92</v>
      </c>
      <c r="B9" s="43" t="s">
        <v>107</v>
      </c>
      <c r="C9" s="38" t="str">
        <f t="shared" si="0"/>
        <v>quantity</v>
      </c>
      <c r="D9" s="43" t="s">
        <v>116</v>
      </c>
      <c r="E9" s="45"/>
      <c r="F9" s="45"/>
      <c r="G9" s="45"/>
      <c r="H9" s="44">
        <v>0</v>
      </c>
      <c r="I9" s="44">
        <v>1000</v>
      </c>
      <c r="J9" s="40" t="s">
        <v>122</v>
      </c>
      <c r="K9" s="43" t="s">
        <v>92</v>
      </c>
      <c r="L9" s="39">
        <f ca="1">COUNTIF(派生元項目KEY,A9)</f>
        <v>4</v>
      </c>
      <c r="M9" s="39">
        <f ca="1">COUNTIF(区分値項目KEY,A9)</f>
        <v>0</v>
      </c>
      <c r="N9"/>
      <c r="O9"/>
    </row>
    <row r="10" spans="1:15" ht="18" x14ac:dyDescent="0.55000000000000004">
      <c r="A10" s="43" t="s">
        <v>159</v>
      </c>
      <c r="B10" s="43" t="s">
        <v>161</v>
      </c>
      <c r="C10" s="38" t="str">
        <f t="shared" si="0"/>
        <v>product_status</v>
      </c>
      <c r="D10" s="43" t="s">
        <v>123</v>
      </c>
      <c r="E10" s="45"/>
      <c r="F10" s="44"/>
      <c r="G10" s="44"/>
      <c r="H10" s="45"/>
      <c r="I10" s="45"/>
      <c r="J10" s="40" t="s">
        <v>163</v>
      </c>
      <c r="K10" s="43" t="s">
        <v>164</v>
      </c>
      <c r="L10" s="39">
        <f ca="1">COUNTIF(派生元項目KEY,A10)</f>
        <v>0</v>
      </c>
      <c r="M10" s="39">
        <f ca="1">COUNTIF(区分値項目KEY,A10)</f>
        <v>4</v>
      </c>
      <c r="N10"/>
      <c r="O10"/>
    </row>
    <row r="11" spans="1:15" ht="18" x14ac:dyDescent="0.55000000000000004">
      <c r="A11" s="43" t="s">
        <v>99</v>
      </c>
      <c r="B11" s="43" t="s">
        <v>108</v>
      </c>
      <c r="C11" s="38" t="str">
        <f t="shared" si="0"/>
        <v>order_status</v>
      </c>
      <c r="D11" s="43" t="s">
        <v>123</v>
      </c>
      <c r="E11" s="45"/>
      <c r="F11" s="44"/>
      <c r="G11" s="44"/>
      <c r="H11" s="45"/>
      <c r="I11" s="45"/>
      <c r="J11" s="40" t="s">
        <v>124</v>
      </c>
      <c r="K11" s="43" t="s">
        <v>125</v>
      </c>
      <c r="L11" s="39">
        <f ca="1">COUNTIF(派生元項目KEY,A11)</f>
        <v>0</v>
      </c>
      <c r="M11" s="39">
        <f ca="1">COUNTIF(区分値項目KEY,A11)</f>
        <v>4</v>
      </c>
      <c r="N11"/>
      <c r="O11"/>
    </row>
    <row r="12" spans="1:15" ht="18" x14ac:dyDescent="0.55000000000000004">
      <c r="A12" s="43" t="s">
        <v>158</v>
      </c>
      <c r="B12" s="43" t="s">
        <v>162</v>
      </c>
      <c r="C12" s="38" t="str">
        <f t="shared" si="0"/>
        <v>operator_id</v>
      </c>
      <c r="D12" s="43" t="s">
        <v>90</v>
      </c>
      <c r="E12" s="40" t="s">
        <v>165</v>
      </c>
      <c r="F12" s="44">
        <v>5</v>
      </c>
      <c r="G12" s="44">
        <v>5</v>
      </c>
      <c r="H12" s="45"/>
      <c r="I12" s="45"/>
      <c r="J12" s="40" t="s">
        <v>166</v>
      </c>
      <c r="K12" s="43" t="s">
        <v>158</v>
      </c>
      <c r="L12" s="39">
        <f ca="1">COUNTIF(派生元項目KEY,A12)</f>
        <v>2</v>
      </c>
      <c r="M12" s="39">
        <f ca="1">COUNTIF(区分値項目KEY,A12)</f>
        <v>0</v>
      </c>
      <c r="N12"/>
      <c r="O12"/>
    </row>
    <row r="13" spans="1:15" ht="18" x14ac:dyDescent="0.55000000000000004">
      <c r="A13" s="43"/>
      <c r="B13" s="43"/>
      <c r="C13" s="38" t="str">
        <f t="shared" si="0"/>
        <v/>
      </c>
      <c r="D13" s="43"/>
      <c r="E13" s="43"/>
      <c r="F13" s="43"/>
      <c r="G13" s="43"/>
      <c r="H13" s="43"/>
      <c r="I13" s="43"/>
      <c r="J13" s="40"/>
      <c r="K13" s="43"/>
      <c r="L13" s="39">
        <f ca="1">COUNTIF(派生元項目KEY,A13)</f>
        <v>0</v>
      </c>
      <c r="M13" s="39">
        <f ca="1">COUNTIF(区分値項目KEY,A13)</f>
        <v>0</v>
      </c>
      <c r="N13"/>
      <c r="O13"/>
    </row>
    <row r="14" spans="1:15" ht="18" x14ac:dyDescent="0.55000000000000004">
      <c r="A14" s="43"/>
      <c r="B14" s="43"/>
      <c r="C14" s="38" t="str">
        <f t="shared" si="0"/>
        <v/>
      </c>
      <c r="D14" s="43"/>
      <c r="E14" s="43"/>
      <c r="F14" s="43"/>
      <c r="G14" s="43"/>
      <c r="H14" s="43"/>
      <c r="I14" s="43"/>
      <c r="J14" s="40"/>
      <c r="K14" s="43"/>
      <c r="L14" s="39">
        <f ca="1">COUNTIF(派生元項目KEY,A14)</f>
        <v>0</v>
      </c>
      <c r="M14" s="39">
        <f ca="1">COUNTIF(区分値項目KEY,A14)</f>
        <v>0</v>
      </c>
      <c r="N14"/>
      <c r="O14"/>
    </row>
    <row r="15" spans="1:15" ht="18" x14ac:dyDescent="0.55000000000000004">
      <c r="A15" s="43"/>
      <c r="B15" s="43"/>
      <c r="C15" s="38" t="str">
        <f t="shared" si="0"/>
        <v/>
      </c>
      <c r="D15" s="43"/>
      <c r="E15" s="43"/>
      <c r="F15" s="43"/>
      <c r="G15" s="43"/>
      <c r="H15" s="43"/>
      <c r="I15" s="43"/>
      <c r="J15" s="40"/>
      <c r="K15" s="43"/>
      <c r="L15" s="39">
        <f ca="1">COUNTIF(派生元項目KEY,A15)</f>
        <v>0</v>
      </c>
      <c r="M15" s="39">
        <f ca="1">COUNTIF(区分値項目KEY,A15)</f>
        <v>0</v>
      </c>
      <c r="N15"/>
      <c r="O15"/>
    </row>
    <row r="16" spans="1:15" ht="18" x14ac:dyDescent="0.55000000000000004">
      <c r="A16" s="43"/>
      <c r="B16" s="43"/>
      <c r="C16" s="38" t="str">
        <f t="shared" si="0"/>
        <v/>
      </c>
      <c r="D16" s="43"/>
      <c r="E16" s="43"/>
      <c r="F16" s="43"/>
      <c r="G16" s="43"/>
      <c r="H16" s="43"/>
      <c r="I16" s="43"/>
      <c r="J16" s="40"/>
      <c r="K16" s="43"/>
      <c r="L16" s="39">
        <f ca="1">COUNTIF(派生元項目KEY,A16)</f>
        <v>0</v>
      </c>
      <c r="M16" s="39">
        <f ca="1">COUNTIF(区分値項目KEY,A16)</f>
        <v>0</v>
      </c>
      <c r="N16"/>
      <c r="O16"/>
    </row>
    <row r="17" spans="1:15" ht="18" x14ac:dyDescent="0.55000000000000004">
      <c r="A17" s="43"/>
      <c r="B17" s="43"/>
      <c r="C17" s="38" t="str">
        <f t="shared" si="0"/>
        <v/>
      </c>
      <c r="D17" s="43"/>
      <c r="E17" s="43"/>
      <c r="F17" s="43"/>
      <c r="G17" s="43"/>
      <c r="H17" s="43"/>
      <c r="I17" s="43"/>
      <c r="J17" s="40"/>
      <c r="K17" s="43"/>
      <c r="L17" s="39">
        <f ca="1">COUNTIF(派生元項目KEY,A17)</f>
        <v>0</v>
      </c>
      <c r="M17" s="39">
        <f ca="1">COUNTIF(区分値項目KEY,A17)</f>
        <v>0</v>
      </c>
      <c r="N17"/>
      <c r="O17"/>
    </row>
    <row r="18" spans="1:15" ht="18" x14ac:dyDescent="0.55000000000000004">
      <c r="A18" s="43"/>
      <c r="B18" s="43"/>
      <c r="C18" s="38" t="str">
        <f t="shared" si="0"/>
        <v/>
      </c>
      <c r="D18" s="43"/>
      <c r="E18" s="43"/>
      <c r="F18" s="43"/>
      <c r="G18" s="43"/>
      <c r="H18" s="43"/>
      <c r="I18" s="43"/>
      <c r="J18" s="40"/>
      <c r="K18" s="43"/>
      <c r="L18" s="39">
        <f ca="1">COUNTIF(派生元項目KEY,A18)</f>
        <v>0</v>
      </c>
      <c r="M18" s="39">
        <f ca="1">COUNTIF(区分値項目KEY,A18)</f>
        <v>0</v>
      </c>
      <c r="N18"/>
      <c r="O18"/>
    </row>
    <row r="19" spans="1:15" ht="18" x14ac:dyDescent="0.55000000000000004">
      <c r="A19" s="43"/>
      <c r="B19" s="43"/>
      <c r="C19" s="38" t="str">
        <f t="shared" si="0"/>
        <v/>
      </c>
      <c r="D19" s="43"/>
      <c r="E19" s="43"/>
      <c r="F19" s="43"/>
      <c r="G19" s="43"/>
      <c r="H19" s="43"/>
      <c r="I19" s="43"/>
      <c r="J19" s="40"/>
      <c r="K19" s="43"/>
      <c r="L19" s="39">
        <f ca="1">COUNTIF(派生元項目KEY,A19)</f>
        <v>0</v>
      </c>
      <c r="M19" s="39">
        <f ca="1">COUNTIF(区分値項目KEY,A19)</f>
        <v>0</v>
      </c>
      <c r="N19"/>
      <c r="O19"/>
    </row>
    <row r="20" spans="1:15" ht="18" x14ac:dyDescent="0.55000000000000004">
      <c r="A20" s="43"/>
      <c r="B20" s="43"/>
      <c r="C20" s="38" t="str">
        <f t="shared" si="0"/>
        <v/>
      </c>
      <c r="D20" s="43"/>
      <c r="E20" s="43"/>
      <c r="F20" s="43"/>
      <c r="G20" s="43"/>
      <c r="H20" s="43"/>
      <c r="I20" s="43"/>
      <c r="J20" s="40"/>
      <c r="K20" s="43"/>
      <c r="L20" s="39">
        <f ca="1">COUNTIF(派生元項目KEY,A20)</f>
        <v>0</v>
      </c>
      <c r="M20" s="39">
        <f ca="1">COUNTIF(区分値項目KEY,A20)</f>
        <v>0</v>
      </c>
      <c r="N20"/>
      <c r="O20"/>
    </row>
    <row r="21" spans="1:15" ht="18" x14ac:dyDescent="0.55000000000000004">
      <c r="A21" s="43"/>
      <c r="B21" s="43"/>
      <c r="C21" s="38" t="str">
        <f t="shared" si="0"/>
        <v/>
      </c>
      <c r="D21" s="43"/>
      <c r="E21" s="43"/>
      <c r="F21" s="43"/>
      <c r="G21" s="43"/>
      <c r="H21" s="43"/>
      <c r="I21" s="43"/>
      <c r="J21" s="40"/>
      <c r="K21" s="43"/>
      <c r="L21" s="39">
        <f ca="1">COUNTIF(派生元項目KEY,A21)</f>
        <v>0</v>
      </c>
      <c r="M21" s="39">
        <f ca="1">COUNTIF(区分値項目KEY,A21)</f>
        <v>0</v>
      </c>
      <c r="N21"/>
      <c r="O21"/>
    </row>
    <row r="22" spans="1:15" ht="18" x14ac:dyDescent="0.55000000000000004">
      <c r="A22" s="43"/>
      <c r="B22" s="43"/>
      <c r="C22" s="38" t="str">
        <f t="shared" si="0"/>
        <v/>
      </c>
      <c r="D22" s="43"/>
      <c r="E22" s="43"/>
      <c r="F22" s="43"/>
      <c r="G22" s="43"/>
      <c r="H22" s="43"/>
      <c r="I22" s="43"/>
      <c r="J22" s="40"/>
      <c r="K22" s="43"/>
      <c r="L22" s="39">
        <f ca="1">COUNTIF(派生元項目KEY,A22)</f>
        <v>0</v>
      </c>
      <c r="M22" s="39">
        <f ca="1">COUNTIF(区分値項目KEY,A22)</f>
        <v>0</v>
      </c>
      <c r="N22"/>
      <c r="O22"/>
    </row>
    <row r="23" spans="1:15" ht="18" x14ac:dyDescent="0.55000000000000004">
      <c r="A23" s="43"/>
      <c r="B23" s="43"/>
      <c r="C23" s="38" t="str">
        <f t="shared" si="0"/>
        <v/>
      </c>
      <c r="D23" s="43"/>
      <c r="E23" s="43"/>
      <c r="F23" s="43"/>
      <c r="G23" s="43"/>
      <c r="H23" s="43"/>
      <c r="I23" s="43"/>
      <c r="J23" s="40"/>
      <c r="K23" s="43"/>
      <c r="L23" s="39">
        <f ca="1">COUNTIF(派生元項目KEY,A23)</f>
        <v>0</v>
      </c>
      <c r="M23" s="39">
        <f ca="1">COUNTIF(区分値項目KEY,A23)</f>
        <v>0</v>
      </c>
      <c r="N23"/>
      <c r="O23"/>
    </row>
    <row r="24" spans="1:15" ht="18" x14ac:dyDescent="0.55000000000000004">
      <c r="A24" s="43"/>
      <c r="B24" s="43"/>
      <c r="C24" s="38" t="str">
        <f t="shared" si="0"/>
        <v/>
      </c>
      <c r="D24" s="43"/>
      <c r="E24" s="43"/>
      <c r="F24" s="43"/>
      <c r="G24" s="43"/>
      <c r="H24" s="43"/>
      <c r="I24" s="43"/>
      <c r="J24" s="40"/>
      <c r="K24" s="43"/>
      <c r="L24" s="39">
        <f ca="1">COUNTIF(派生元項目KEY,A24)</f>
        <v>0</v>
      </c>
      <c r="M24" s="39">
        <f ca="1">COUNTIF(区分値項目KEY,A24)</f>
        <v>0</v>
      </c>
      <c r="N24"/>
      <c r="O24"/>
    </row>
    <row r="25" spans="1:15" ht="18" x14ac:dyDescent="0.55000000000000004">
      <c r="A25" s="43"/>
      <c r="B25" s="43"/>
      <c r="C25" s="38" t="str">
        <f t="shared" si="0"/>
        <v/>
      </c>
      <c r="D25" s="43"/>
      <c r="E25" s="43"/>
      <c r="F25" s="43"/>
      <c r="G25" s="43"/>
      <c r="H25" s="43"/>
      <c r="I25" s="43"/>
      <c r="J25" s="40"/>
      <c r="K25" s="43"/>
      <c r="L25" s="39">
        <f ca="1">COUNTIF(派生元項目KEY,A25)</f>
        <v>0</v>
      </c>
      <c r="M25" s="39">
        <f ca="1">COUNTIF(区分値項目KEY,A25)</f>
        <v>0</v>
      </c>
      <c r="N25"/>
      <c r="O25"/>
    </row>
    <row r="26" spans="1:15" ht="18" x14ac:dyDescent="0.55000000000000004">
      <c r="A26" s="43"/>
      <c r="B26" s="43"/>
      <c r="C26" s="38" t="str">
        <f t="shared" si="0"/>
        <v/>
      </c>
      <c r="D26" s="43"/>
      <c r="E26" s="43"/>
      <c r="F26" s="43"/>
      <c r="G26" s="43"/>
      <c r="H26" s="43"/>
      <c r="I26" s="43"/>
      <c r="J26" s="40"/>
      <c r="K26" s="43"/>
      <c r="L26" s="39">
        <f ca="1">COUNTIF(派生元項目KEY,A26)</f>
        <v>0</v>
      </c>
      <c r="M26" s="39">
        <f ca="1">COUNTIF(区分値項目KEY,A26)</f>
        <v>0</v>
      </c>
      <c r="N26"/>
      <c r="O26"/>
    </row>
    <row r="27" spans="1:15" ht="18" x14ac:dyDescent="0.55000000000000004">
      <c r="A27" s="43"/>
      <c r="B27" s="43"/>
      <c r="C27" s="38" t="str">
        <f t="shared" si="0"/>
        <v/>
      </c>
      <c r="D27" s="43"/>
      <c r="E27" s="43"/>
      <c r="F27" s="43"/>
      <c r="G27" s="43"/>
      <c r="H27" s="43"/>
      <c r="I27" s="43"/>
      <c r="J27" s="40"/>
      <c r="K27" s="43"/>
      <c r="L27" s="39">
        <f ca="1">COUNTIF(派生元項目KEY,A27)</f>
        <v>0</v>
      </c>
      <c r="M27" s="39">
        <f ca="1">COUNTIF(区分値項目KEY,A27)</f>
        <v>0</v>
      </c>
      <c r="N27"/>
      <c r="O27"/>
    </row>
    <row r="28" spans="1:15" ht="18" x14ac:dyDescent="0.55000000000000004">
      <c r="A28" s="43"/>
      <c r="B28" s="43"/>
      <c r="C28" s="38" t="str">
        <f t="shared" si="0"/>
        <v/>
      </c>
      <c r="D28" s="43"/>
      <c r="E28" s="43"/>
      <c r="F28" s="43"/>
      <c r="G28" s="43"/>
      <c r="H28" s="43"/>
      <c r="I28" s="43"/>
      <c r="J28" s="40"/>
      <c r="K28" s="43"/>
      <c r="L28" s="39">
        <f ca="1">COUNTIF(派生元項目KEY,A28)</f>
        <v>0</v>
      </c>
      <c r="M28" s="39">
        <f ca="1">COUNTIF(区分値項目KEY,A28)</f>
        <v>0</v>
      </c>
      <c r="N28"/>
      <c r="O28"/>
    </row>
    <row r="29" spans="1:15" ht="18" x14ac:dyDescent="0.55000000000000004">
      <c r="A29" s="43"/>
      <c r="B29" s="43"/>
      <c r="C29" s="38" t="str">
        <f t="shared" si="0"/>
        <v/>
      </c>
      <c r="D29" s="43"/>
      <c r="E29" s="43"/>
      <c r="F29" s="43"/>
      <c r="G29" s="43"/>
      <c r="H29" s="43"/>
      <c r="I29" s="43"/>
      <c r="J29" s="40"/>
      <c r="K29" s="43"/>
      <c r="L29" s="39">
        <f ca="1">COUNTIF(派生元項目KEY,A29)</f>
        <v>0</v>
      </c>
      <c r="M29" s="39">
        <f ca="1">COUNTIF(区分値項目KEY,A29)</f>
        <v>0</v>
      </c>
      <c r="N29"/>
      <c r="O29"/>
    </row>
    <row r="30" spans="1:15" ht="18" x14ac:dyDescent="0.55000000000000004">
      <c r="A30" s="43"/>
      <c r="B30" s="43"/>
      <c r="C30" s="38" t="str">
        <f t="shared" si="0"/>
        <v/>
      </c>
      <c r="D30" s="43"/>
      <c r="E30" s="43"/>
      <c r="F30" s="43"/>
      <c r="G30" s="43"/>
      <c r="H30" s="43"/>
      <c r="I30" s="43"/>
      <c r="J30" s="40"/>
      <c r="K30" s="43"/>
      <c r="L30" s="39">
        <f ca="1">COUNTIF(派生元項目KEY,A30)</f>
        <v>0</v>
      </c>
      <c r="M30" s="39">
        <f ca="1">COUNTIF(区分値項目KEY,A30)</f>
        <v>0</v>
      </c>
      <c r="N30"/>
      <c r="O30"/>
    </row>
    <row r="31" spans="1:15" ht="18" x14ac:dyDescent="0.55000000000000004">
      <c r="A31" s="43"/>
      <c r="B31" s="43"/>
      <c r="C31" s="38" t="str">
        <f t="shared" si="0"/>
        <v/>
      </c>
      <c r="D31" s="43"/>
      <c r="E31" s="43"/>
      <c r="F31" s="43"/>
      <c r="G31" s="43"/>
      <c r="H31" s="43"/>
      <c r="I31" s="43"/>
      <c r="J31" s="40"/>
      <c r="K31" s="43"/>
      <c r="L31" s="39">
        <f ca="1">COUNTIF(派生元項目KEY,A31)</f>
        <v>0</v>
      </c>
      <c r="M31" s="39">
        <f ca="1">COUNTIF(区分値項目KEY,A31)</f>
        <v>0</v>
      </c>
      <c r="N31"/>
      <c r="O31"/>
    </row>
    <row r="32" spans="1:15" ht="18" x14ac:dyDescent="0.55000000000000004">
      <c r="A32" s="43"/>
      <c r="B32" s="43"/>
      <c r="C32" s="38" t="str">
        <f t="shared" si="0"/>
        <v/>
      </c>
      <c r="D32" s="43"/>
      <c r="E32" s="43"/>
      <c r="F32" s="43"/>
      <c r="G32" s="43"/>
      <c r="H32" s="43"/>
      <c r="I32" s="43"/>
      <c r="J32" s="40"/>
      <c r="K32" s="43"/>
      <c r="L32" s="39">
        <f ca="1">COUNTIF(派生元項目KEY,A32)</f>
        <v>0</v>
      </c>
      <c r="M32" s="39">
        <f ca="1">COUNTIF(区分値項目KEY,A32)</f>
        <v>0</v>
      </c>
      <c r="N32"/>
      <c r="O32"/>
    </row>
    <row r="33" spans="1:15" ht="18" x14ac:dyDescent="0.55000000000000004">
      <c r="A33" s="43"/>
      <c r="B33" s="43"/>
      <c r="C33" s="38" t="str">
        <f t="shared" si="0"/>
        <v/>
      </c>
      <c r="D33" s="43"/>
      <c r="E33" s="43"/>
      <c r="F33" s="43"/>
      <c r="G33" s="43"/>
      <c r="H33" s="43"/>
      <c r="I33" s="43"/>
      <c r="J33" s="40"/>
      <c r="K33" s="43"/>
      <c r="L33" s="39">
        <f ca="1">COUNTIF(派生元項目KEY,A33)</f>
        <v>0</v>
      </c>
      <c r="M33" s="39">
        <f ca="1">COUNTIF(区分値項目KEY,A33)</f>
        <v>0</v>
      </c>
      <c r="N33"/>
      <c r="O33"/>
    </row>
    <row r="34" spans="1:15" ht="18" x14ac:dyDescent="0.55000000000000004">
      <c r="A34" s="43"/>
      <c r="B34" s="43"/>
      <c r="C34" s="38" t="str">
        <f t="shared" si="0"/>
        <v/>
      </c>
      <c r="D34" s="43"/>
      <c r="E34" s="43"/>
      <c r="F34" s="43"/>
      <c r="G34" s="43"/>
      <c r="H34" s="43"/>
      <c r="I34" s="43"/>
      <c r="J34" s="40"/>
      <c r="K34" s="43"/>
      <c r="L34" s="39">
        <f ca="1">COUNTIF(派生元項目KEY,A34)</f>
        <v>0</v>
      </c>
      <c r="M34" s="39">
        <f ca="1">COUNTIF(区分値項目KEY,A34)</f>
        <v>0</v>
      </c>
      <c r="N34"/>
      <c r="O34"/>
    </row>
    <row r="35" spans="1:15" ht="18" x14ac:dyDescent="0.55000000000000004">
      <c r="A35" s="43"/>
      <c r="B35" s="43"/>
      <c r="C35" s="38" t="str">
        <f t="shared" si="0"/>
        <v/>
      </c>
      <c r="D35" s="43"/>
      <c r="E35" s="43"/>
      <c r="F35" s="43"/>
      <c r="G35" s="43"/>
      <c r="H35" s="43"/>
      <c r="I35" s="43"/>
      <c r="J35" s="40"/>
      <c r="K35" s="43"/>
      <c r="L35" s="39">
        <f ca="1">COUNTIF(派生元項目KEY,A35)</f>
        <v>0</v>
      </c>
      <c r="M35" s="39">
        <f ca="1">COUNTIF(区分値項目KEY,A35)</f>
        <v>0</v>
      </c>
      <c r="N35"/>
      <c r="O35"/>
    </row>
    <row r="36" spans="1:15" ht="18" x14ac:dyDescent="0.55000000000000004">
      <c r="A36" s="43"/>
      <c r="B36" s="43"/>
      <c r="C36" s="38" t="str">
        <f t="shared" si="0"/>
        <v/>
      </c>
      <c r="D36" s="43"/>
      <c r="E36" s="43"/>
      <c r="F36" s="43"/>
      <c r="G36" s="43"/>
      <c r="H36" s="43"/>
      <c r="I36" s="43"/>
      <c r="J36" s="40"/>
      <c r="K36" s="43"/>
      <c r="L36" s="39">
        <f ca="1">COUNTIF(派生元項目KEY,A36)</f>
        <v>0</v>
      </c>
      <c r="M36" s="39">
        <f ca="1">COUNTIF(区分値項目KEY,A36)</f>
        <v>0</v>
      </c>
      <c r="N36"/>
      <c r="O36"/>
    </row>
    <row r="37" spans="1:15" ht="18" x14ac:dyDescent="0.55000000000000004">
      <c r="A37" s="43"/>
      <c r="B37" s="43"/>
      <c r="C37" s="38" t="str">
        <f t="shared" si="0"/>
        <v/>
      </c>
      <c r="D37" s="43"/>
      <c r="E37" s="43"/>
      <c r="F37" s="43"/>
      <c r="G37" s="43"/>
      <c r="H37" s="43"/>
      <c r="I37" s="43"/>
      <c r="J37" s="40"/>
      <c r="K37" s="43"/>
      <c r="L37" s="39">
        <f ca="1">COUNTIF(派生元項目KEY,A37)</f>
        <v>0</v>
      </c>
      <c r="M37" s="39">
        <f ca="1">COUNTIF(区分値項目KEY,A37)</f>
        <v>0</v>
      </c>
      <c r="N37"/>
      <c r="O37"/>
    </row>
    <row r="38" spans="1:15" ht="18" x14ac:dyDescent="0.55000000000000004">
      <c r="A38" s="43"/>
      <c r="B38" s="43"/>
      <c r="C38" s="38" t="str">
        <f t="shared" si="0"/>
        <v/>
      </c>
      <c r="D38" s="43"/>
      <c r="E38" s="43"/>
      <c r="F38" s="43"/>
      <c r="G38" s="43"/>
      <c r="H38" s="43"/>
      <c r="I38" s="43"/>
      <c r="J38" s="40"/>
      <c r="K38" s="43"/>
      <c r="L38" s="39">
        <f ca="1">COUNTIF(派生元項目KEY,A38)</f>
        <v>0</v>
      </c>
      <c r="M38" s="39">
        <f ca="1">COUNTIF(区分値項目KEY,A38)</f>
        <v>0</v>
      </c>
      <c r="N38"/>
      <c r="O38"/>
    </row>
    <row r="39" spans="1:15" ht="18" x14ac:dyDescent="0.55000000000000004">
      <c r="A39" s="43"/>
      <c r="B39" s="43"/>
      <c r="C39" s="38" t="str">
        <f t="shared" si="0"/>
        <v/>
      </c>
      <c r="D39" s="43"/>
      <c r="E39" s="43"/>
      <c r="F39" s="43"/>
      <c r="G39" s="43"/>
      <c r="H39" s="43"/>
      <c r="I39" s="43"/>
      <c r="J39" s="40"/>
      <c r="K39" s="43"/>
      <c r="L39" s="39">
        <f ca="1">COUNTIF(派生元項目KEY,A39)</f>
        <v>0</v>
      </c>
      <c r="M39" s="39">
        <f ca="1">COUNTIF(区分値項目KEY,A39)</f>
        <v>0</v>
      </c>
      <c r="N39"/>
      <c r="O39"/>
    </row>
    <row r="40" spans="1:15" ht="18" x14ac:dyDescent="0.55000000000000004">
      <c r="A40" s="43"/>
      <c r="B40" s="43"/>
      <c r="C40" s="38" t="str">
        <f t="shared" si="0"/>
        <v/>
      </c>
      <c r="D40" s="43"/>
      <c r="E40" s="43"/>
      <c r="F40" s="43"/>
      <c r="G40" s="43"/>
      <c r="H40" s="43"/>
      <c r="I40" s="43"/>
      <c r="J40" s="40"/>
      <c r="K40" s="43"/>
      <c r="L40" s="39">
        <f ca="1">COUNTIF(派生元項目KEY,A40)</f>
        <v>0</v>
      </c>
      <c r="M40" s="39">
        <f ca="1">COUNTIF(区分値項目KEY,A40)</f>
        <v>0</v>
      </c>
      <c r="N40"/>
      <c r="O40"/>
    </row>
    <row r="41" spans="1:15" ht="18" x14ac:dyDescent="0.55000000000000004">
      <c r="A41" s="43"/>
      <c r="B41" s="43"/>
      <c r="C41" s="38" t="str">
        <f t="shared" si="0"/>
        <v/>
      </c>
      <c r="D41" s="43"/>
      <c r="E41" s="43"/>
      <c r="F41" s="43"/>
      <c r="G41" s="43"/>
      <c r="H41" s="43"/>
      <c r="I41" s="43"/>
      <c r="J41" s="40"/>
      <c r="K41" s="43"/>
      <c r="L41" s="39">
        <f ca="1">COUNTIF(派生元項目KEY,A41)</f>
        <v>0</v>
      </c>
      <c r="M41" s="39">
        <f ca="1">COUNTIF(区分値項目KEY,A41)</f>
        <v>0</v>
      </c>
      <c r="N41"/>
      <c r="O41"/>
    </row>
    <row r="42" spans="1:15" ht="18" x14ac:dyDescent="0.55000000000000004">
      <c r="A42" s="41"/>
      <c r="B42" s="41"/>
      <c r="C42" s="36" t="str">
        <f t="shared" si="0"/>
        <v/>
      </c>
      <c r="D42" s="41"/>
      <c r="E42" s="41"/>
      <c r="F42" s="41"/>
      <c r="G42" s="41"/>
      <c r="H42" s="41"/>
      <c r="I42" s="41"/>
      <c r="J42" s="42"/>
      <c r="K42" s="41"/>
      <c r="L42" s="37">
        <f ca="1">COUNTIF(派生元項目KEY,A42)</f>
        <v>0</v>
      </c>
      <c r="M42" s="37">
        <f ca="1">COUNTIF(区分値項目KEY,A42)</f>
        <v>0</v>
      </c>
      <c r="N42"/>
      <c r="O42"/>
    </row>
    <row r="43" spans="1:15" ht="18" x14ac:dyDescent="0.55000000000000004">
      <c r="A43"/>
      <c r="B43"/>
      <c r="C43"/>
      <c r="D43"/>
      <c r="E43"/>
      <c r="F43"/>
      <c r="G43"/>
      <c r="H43"/>
      <c r="I43"/>
      <c r="J43" s="33"/>
      <c r="K43"/>
      <c r="L43"/>
      <c r="M43"/>
      <c r="N43"/>
      <c r="O43"/>
    </row>
    <row r="44" spans="1:15" ht="18" x14ac:dyDescent="0.55000000000000004">
      <c r="A44"/>
      <c r="B44"/>
      <c r="C44"/>
      <c r="D44"/>
      <c r="E44"/>
      <c r="F44"/>
      <c r="G44"/>
      <c r="H44"/>
      <c r="I44"/>
      <c r="J44" s="33"/>
      <c r="K44"/>
      <c r="L44"/>
      <c r="M44"/>
      <c r="N44"/>
      <c r="O44"/>
    </row>
    <row r="45" spans="1:15" ht="18" x14ac:dyDescent="0.55000000000000004">
      <c r="A45"/>
      <c r="B45"/>
      <c r="C45"/>
      <c r="D45"/>
      <c r="E45"/>
      <c r="F45"/>
      <c r="G45"/>
      <c r="H45"/>
      <c r="I45"/>
      <c r="J45" s="33"/>
      <c r="K45"/>
      <c r="L45"/>
      <c r="M45"/>
      <c r="N45"/>
      <c r="O45"/>
    </row>
    <row r="46" spans="1:15" ht="18" x14ac:dyDescent="0.55000000000000004">
      <c r="A46"/>
      <c r="B46"/>
      <c r="C46"/>
      <c r="D46"/>
      <c r="E46"/>
      <c r="F46"/>
      <c r="G46"/>
      <c r="H46"/>
      <c r="I46"/>
      <c r="J46" s="33"/>
      <c r="K46"/>
      <c r="L46"/>
      <c r="M46"/>
      <c r="N46"/>
      <c r="O46"/>
    </row>
    <row r="47" spans="1:15" ht="18" x14ac:dyDescent="0.55000000000000004">
      <c r="A47"/>
      <c r="B47"/>
      <c r="C47"/>
      <c r="D47"/>
      <c r="E47"/>
      <c r="F47"/>
      <c r="G47"/>
      <c r="H47"/>
      <c r="I47"/>
      <c r="J47" s="33"/>
      <c r="K47"/>
      <c r="L47"/>
      <c r="M47"/>
      <c r="N47"/>
      <c r="O47"/>
    </row>
    <row r="48" spans="1:15" ht="18" x14ac:dyDescent="0.55000000000000004">
      <c r="A48"/>
      <c r="B48"/>
      <c r="C48"/>
      <c r="D48"/>
      <c r="E48"/>
      <c r="F48"/>
      <c r="G48"/>
      <c r="H48"/>
      <c r="I48"/>
      <c r="J48" s="33"/>
      <c r="K48"/>
      <c r="L48"/>
      <c r="M48"/>
      <c r="N48"/>
      <c r="O48"/>
    </row>
    <row r="49" spans="1:15" ht="18" x14ac:dyDescent="0.55000000000000004">
      <c r="A49"/>
      <c r="B49"/>
      <c r="C49"/>
      <c r="D49"/>
      <c r="E49"/>
      <c r="F49"/>
      <c r="G49"/>
      <c r="H49"/>
      <c r="I49"/>
      <c r="J49" s="33"/>
      <c r="K49"/>
      <c r="L49"/>
      <c r="M49"/>
      <c r="N49"/>
      <c r="O49"/>
    </row>
    <row r="50" spans="1:15" ht="18" x14ac:dyDescent="0.55000000000000004">
      <c r="A50"/>
      <c r="B50"/>
      <c r="C50"/>
      <c r="D50"/>
      <c r="E50"/>
      <c r="F50"/>
      <c r="G50"/>
      <c r="H50"/>
      <c r="I50"/>
      <c r="J50" s="33"/>
      <c r="K50"/>
      <c r="L50"/>
      <c r="M50"/>
      <c r="N50"/>
      <c r="O50"/>
    </row>
    <row r="51" spans="1:15" ht="18" x14ac:dyDescent="0.55000000000000004">
      <c r="A51"/>
      <c r="B51"/>
      <c r="C51"/>
      <c r="D51"/>
      <c r="E51"/>
      <c r="F51"/>
      <c r="G51"/>
      <c r="H51"/>
      <c r="I51"/>
      <c r="J51" s="33"/>
      <c r="K51"/>
      <c r="L51"/>
      <c r="M51"/>
      <c r="N51"/>
      <c r="O51"/>
    </row>
    <row r="52" spans="1:15" ht="18" x14ac:dyDescent="0.55000000000000004">
      <c r="A52"/>
      <c r="B52"/>
      <c r="C52"/>
      <c r="D52"/>
      <c r="E52"/>
      <c r="F52"/>
      <c r="G52"/>
      <c r="H52"/>
      <c r="I52"/>
      <c r="J52" s="33"/>
      <c r="K52"/>
      <c r="L52"/>
      <c r="M52"/>
      <c r="N52"/>
      <c r="O52"/>
    </row>
    <row r="53" spans="1:15" ht="18" x14ac:dyDescent="0.55000000000000004">
      <c r="A53"/>
      <c r="B53"/>
      <c r="C53"/>
      <c r="D53"/>
      <c r="E53"/>
      <c r="F53"/>
      <c r="G53"/>
      <c r="H53"/>
      <c r="I53"/>
      <c r="J53" s="33"/>
      <c r="K53"/>
      <c r="L53"/>
      <c r="M53"/>
      <c r="N53"/>
      <c r="O53"/>
    </row>
    <row r="54" spans="1:15" ht="18" x14ac:dyDescent="0.55000000000000004">
      <c r="A54"/>
      <c r="B54"/>
      <c r="C54"/>
      <c r="D54"/>
      <c r="E54"/>
      <c r="F54"/>
      <c r="G54"/>
      <c r="H54"/>
      <c r="I54"/>
      <c r="J54" s="33"/>
      <c r="K54"/>
      <c r="L54"/>
      <c r="M54"/>
      <c r="N54"/>
      <c r="O54"/>
    </row>
    <row r="55" spans="1:15" ht="18" x14ac:dyDescent="0.55000000000000004">
      <c r="A55"/>
      <c r="B55"/>
      <c r="C55"/>
      <c r="D55"/>
      <c r="E55"/>
      <c r="F55"/>
      <c r="G55"/>
      <c r="H55"/>
      <c r="I55"/>
      <c r="J55" s="33"/>
      <c r="K55"/>
      <c r="L55"/>
      <c r="M55"/>
      <c r="N55"/>
      <c r="O55"/>
    </row>
    <row r="56" spans="1:15" ht="18" x14ac:dyDescent="0.55000000000000004">
      <c r="A56"/>
      <c r="B56"/>
      <c r="C56"/>
      <c r="D56"/>
      <c r="E56"/>
      <c r="F56"/>
      <c r="G56"/>
      <c r="H56"/>
      <c r="I56"/>
      <c r="J56" s="33"/>
      <c r="K56"/>
      <c r="L56"/>
      <c r="M56"/>
      <c r="N56"/>
      <c r="O56"/>
    </row>
    <row r="57" spans="1:15" ht="18" x14ac:dyDescent="0.55000000000000004">
      <c r="A57"/>
      <c r="B57"/>
      <c r="C57"/>
      <c r="D57"/>
      <c r="E57"/>
      <c r="F57"/>
      <c r="G57"/>
      <c r="H57"/>
      <c r="I57"/>
      <c r="J57" s="33"/>
      <c r="K57"/>
      <c r="L57"/>
      <c r="M57"/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  <row r="2404" spans="1:15" ht="18" x14ac:dyDescent="0.55000000000000004">
      <c r="A2404"/>
      <c r="B2404"/>
      <c r="C2404"/>
      <c r="D2404"/>
      <c r="E2404"/>
      <c r="F2404"/>
      <c r="G2404"/>
      <c r="H2404"/>
      <c r="I2404"/>
      <c r="J2404" s="33"/>
      <c r="K2404"/>
      <c r="L2404"/>
      <c r="M2404"/>
      <c r="N2404"/>
      <c r="O2404"/>
    </row>
    <row r="2405" spans="1:15" ht="18" x14ac:dyDescent="0.55000000000000004">
      <c r="A2405"/>
      <c r="B2405"/>
      <c r="C2405"/>
      <c r="D2405"/>
      <c r="E2405"/>
      <c r="F2405"/>
      <c r="G2405"/>
      <c r="H2405"/>
      <c r="I2405"/>
      <c r="J2405" s="33"/>
      <c r="K2405"/>
      <c r="L2405"/>
      <c r="M2405"/>
      <c r="N2405"/>
      <c r="O2405"/>
    </row>
    <row r="2406" spans="1:15" ht="18" x14ac:dyDescent="0.55000000000000004">
      <c r="A2406"/>
      <c r="B2406"/>
      <c r="C2406"/>
      <c r="D2406"/>
      <c r="E2406"/>
      <c r="F2406"/>
      <c r="G2406"/>
      <c r="H2406"/>
      <c r="I2406"/>
      <c r="J2406" s="33"/>
      <c r="K2406"/>
      <c r="L2406"/>
      <c r="M2406"/>
      <c r="N2406"/>
      <c r="O2406"/>
    </row>
    <row r="2407" spans="1:15" ht="18" x14ac:dyDescent="0.55000000000000004">
      <c r="A2407"/>
      <c r="B2407"/>
      <c r="C2407"/>
      <c r="D2407"/>
      <c r="E2407"/>
      <c r="F2407"/>
      <c r="G2407"/>
      <c r="H2407"/>
      <c r="I2407"/>
      <c r="J2407" s="33"/>
      <c r="K2407"/>
      <c r="L2407"/>
      <c r="M2407"/>
      <c r="N2407"/>
      <c r="O2407"/>
    </row>
    <row r="2408" spans="1:15" ht="18" x14ac:dyDescent="0.55000000000000004">
      <c r="A2408"/>
      <c r="B2408"/>
      <c r="C2408"/>
      <c r="D2408"/>
      <c r="E2408"/>
      <c r="F2408"/>
      <c r="G2408"/>
      <c r="H2408"/>
      <c r="I2408"/>
      <c r="J2408" s="33"/>
      <c r="K2408"/>
      <c r="L2408"/>
      <c r="M2408"/>
      <c r="N2408"/>
      <c r="O2408"/>
    </row>
    <row r="2409" spans="1:15" ht="18" x14ac:dyDescent="0.55000000000000004">
      <c r="A2409"/>
      <c r="B2409"/>
      <c r="C2409"/>
      <c r="D2409"/>
      <c r="E2409"/>
      <c r="F2409"/>
      <c r="G2409"/>
      <c r="H2409"/>
      <c r="I2409"/>
      <c r="J2409" s="33"/>
      <c r="K2409"/>
      <c r="L2409"/>
      <c r="M2409"/>
      <c r="N2409"/>
      <c r="O2409"/>
    </row>
    <row r="2410" spans="1:15" ht="18" x14ac:dyDescent="0.55000000000000004">
      <c r="A2410"/>
      <c r="B2410"/>
      <c r="C2410"/>
      <c r="D2410"/>
      <c r="E2410"/>
      <c r="F2410"/>
      <c r="G2410"/>
      <c r="H2410"/>
      <c r="I2410"/>
      <c r="J2410" s="33"/>
      <c r="K2410"/>
      <c r="L2410"/>
      <c r="M2410"/>
      <c r="N2410"/>
      <c r="O2410"/>
    </row>
    <row r="2411" spans="1:15" ht="18" x14ac:dyDescent="0.55000000000000004">
      <c r="A2411"/>
      <c r="B2411"/>
      <c r="C2411"/>
      <c r="D2411"/>
      <c r="E2411"/>
      <c r="F2411"/>
      <c r="G2411"/>
      <c r="H2411"/>
      <c r="I2411"/>
      <c r="J2411" s="33"/>
      <c r="K2411"/>
      <c r="L2411"/>
      <c r="M2411"/>
      <c r="N2411"/>
      <c r="O2411"/>
    </row>
    <row r="2412" spans="1:15" ht="18" x14ac:dyDescent="0.55000000000000004">
      <c r="A2412"/>
      <c r="B2412"/>
      <c r="C2412"/>
      <c r="D2412"/>
      <c r="E2412"/>
      <c r="F2412"/>
      <c r="G2412"/>
      <c r="H2412"/>
      <c r="I2412"/>
      <c r="J2412" s="33"/>
      <c r="K2412"/>
      <c r="L2412"/>
      <c r="M2412"/>
      <c r="N2412"/>
      <c r="O2412"/>
    </row>
    <row r="2413" spans="1:15" ht="18" x14ac:dyDescent="0.55000000000000004">
      <c r="A2413"/>
      <c r="B2413"/>
      <c r="C2413"/>
      <c r="D2413"/>
      <c r="E2413"/>
      <c r="F2413"/>
      <c r="G2413"/>
      <c r="H2413"/>
      <c r="I2413"/>
      <c r="J2413" s="33"/>
      <c r="K2413"/>
      <c r="L2413"/>
      <c r="M2413"/>
      <c r="N2413"/>
      <c r="O2413"/>
    </row>
    <row r="2414" spans="1:15" ht="18" x14ac:dyDescent="0.55000000000000004">
      <c r="A2414"/>
      <c r="B2414"/>
      <c r="C2414"/>
      <c r="D2414"/>
      <c r="E2414"/>
      <c r="F2414"/>
      <c r="G2414"/>
      <c r="H2414"/>
      <c r="I2414"/>
      <c r="J2414" s="33"/>
      <c r="K2414"/>
      <c r="L2414"/>
      <c r="M2414"/>
      <c r="N2414"/>
      <c r="O2414"/>
    </row>
    <row r="2415" spans="1:15" ht="18" x14ac:dyDescent="0.55000000000000004">
      <c r="A2415"/>
      <c r="B2415"/>
      <c r="C2415"/>
      <c r="D2415"/>
      <c r="E2415"/>
      <c r="F2415"/>
      <c r="G2415"/>
      <c r="H2415"/>
      <c r="I2415"/>
      <c r="J2415" s="33"/>
      <c r="K2415"/>
      <c r="L2415"/>
      <c r="M2415"/>
      <c r="N2415"/>
      <c r="O2415"/>
    </row>
    <row r="2416" spans="1:15" ht="18" x14ac:dyDescent="0.55000000000000004">
      <c r="A2416"/>
      <c r="B2416"/>
      <c r="C2416"/>
      <c r="D2416"/>
      <c r="E2416"/>
      <c r="F2416"/>
      <c r="G2416"/>
      <c r="H2416"/>
      <c r="I2416"/>
      <c r="J2416" s="33"/>
      <c r="K2416"/>
      <c r="L2416"/>
      <c r="M2416"/>
      <c r="N2416"/>
      <c r="O2416"/>
    </row>
    <row r="2417" spans="1:15" ht="18" x14ac:dyDescent="0.55000000000000004">
      <c r="A2417"/>
      <c r="B2417"/>
      <c r="C2417"/>
      <c r="D2417"/>
      <c r="E2417"/>
      <c r="F2417"/>
      <c r="G2417"/>
      <c r="H2417"/>
      <c r="I2417"/>
      <c r="J2417" s="33"/>
      <c r="K2417"/>
      <c r="L2417"/>
      <c r="M2417"/>
      <c r="N2417"/>
      <c r="O2417"/>
    </row>
    <row r="2418" spans="1:15" ht="18" x14ac:dyDescent="0.55000000000000004">
      <c r="A2418"/>
      <c r="B2418"/>
      <c r="C2418"/>
      <c r="D2418"/>
      <c r="E2418"/>
      <c r="F2418"/>
      <c r="G2418"/>
      <c r="H2418"/>
      <c r="I2418"/>
      <c r="J2418" s="33"/>
      <c r="K2418"/>
      <c r="L2418"/>
      <c r="M2418"/>
      <c r="N2418"/>
      <c r="O2418"/>
    </row>
    <row r="2419" spans="1:15" ht="18" x14ac:dyDescent="0.55000000000000004">
      <c r="A2419"/>
      <c r="B2419"/>
      <c r="C2419"/>
      <c r="D2419"/>
      <c r="E2419"/>
      <c r="F2419"/>
      <c r="G2419"/>
      <c r="H2419"/>
      <c r="I2419"/>
      <c r="J2419" s="33"/>
      <c r="K2419"/>
      <c r="L2419"/>
      <c r="M2419"/>
      <c r="N2419"/>
      <c r="O2419"/>
    </row>
    <row r="2420" spans="1:15" ht="18" x14ac:dyDescent="0.55000000000000004">
      <c r="A2420"/>
      <c r="B2420"/>
      <c r="C2420"/>
      <c r="D2420"/>
      <c r="E2420"/>
      <c r="F2420"/>
      <c r="G2420"/>
      <c r="H2420"/>
      <c r="I2420"/>
      <c r="J2420" s="33"/>
      <c r="K2420"/>
      <c r="L2420"/>
      <c r="M2420"/>
      <c r="N2420"/>
      <c r="O2420"/>
    </row>
    <row r="2421" spans="1:15" ht="18" x14ac:dyDescent="0.55000000000000004">
      <c r="A2421"/>
      <c r="B2421"/>
      <c r="C2421"/>
      <c r="D2421"/>
      <c r="E2421"/>
      <c r="F2421"/>
      <c r="G2421"/>
      <c r="H2421"/>
      <c r="I2421"/>
      <c r="J2421" s="33"/>
      <c r="K2421"/>
      <c r="L2421"/>
      <c r="M2421"/>
      <c r="N2421"/>
      <c r="O2421"/>
    </row>
    <row r="2422" spans="1:15" ht="18" x14ac:dyDescent="0.55000000000000004">
      <c r="A2422"/>
      <c r="B2422"/>
      <c r="C2422"/>
      <c r="D2422"/>
      <c r="E2422"/>
      <c r="F2422"/>
      <c r="G2422"/>
      <c r="H2422"/>
      <c r="I2422"/>
      <c r="J2422" s="33"/>
      <c r="K2422"/>
      <c r="L2422"/>
      <c r="M2422"/>
      <c r="N2422"/>
      <c r="O2422"/>
    </row>
    <row r="2423" spans="1:15" ht="18" x14ac:dyDescent="0.55000000000000004">
      <c r="A2423"/>
      <c r="B2423"/>
      <c r="C2423"/>
      <c r="D2423"/>
      <c r="E2423"/>
      <c r="F2423"/>
      <c r="G2423"/>
      <c r="H2423"/>
      <c r="I2423"/>
      <c r="J2423" s="33"/>
      <c r="K2423"/>
      <c r="L2423"/>
      <c r="M2423"/>
      <c r="N2423"/>
      <c r="O2423"/>
    </row>
    <row r="2424" spans="1:15" ht="18" x14ac:dyDescent="0.55000000000000004">
      <c r="A2424"/>
      <c r="B2424"/>
      <c r="C2424"/>
      <c r="D2424"/>
      <c r="E2424"/>
      <c r="F2424"/>
      <c r="G2424"/>
      <c r="H2424"/>
      <c r="I2424"/>
      <c r="J2424" s="33"/>
      <c r="K2424"/>
      <c r="L2424"/>
      <c r="M2424"/>
      <c r="N2424"/>
      <c r="O2424"/>
    </row>
    <row r="2425" spans="1:15" ht="18" x14ac:dyDescent="0.55000000000000004">
      <c r="A2425"/>
      <c r="B2425"/>
      <c r="C2425"/>
      <c r="D2425"/>
      <c r="E2425"/>
      <c r="F2425"/>
      <c r="G2425"/>
      <c r="H2425"/>
      <c r="I2425"/>
      <c r="J2425" s="33"/>
      <c r="K2425"/>
      <c r="L2425"/>
      <c r="M2425"/>
      <c r="N2425"/>
      <c r="O2425"/>
    </row>
    <row r="2426" spans="1:15" ht="18" x14ac:dyDescent="0.55000000000000004">
      <c r="A2426"/>
      <c r="B2426"/>
      <c r="C2426"/>
      <c r="D2426"/>
      <c r="E2426"/>
      <c r="F2426"/>
      <c r="G2426"/>
      <c r="H2426"/>
      <c r="I2426"/>
      <c r="J2426" s="33"/>
      <c r="K2426"/>
      <c r="L2426"/>
      <c r="M2426"/>
      <c r="N2426"/>
      <c r="O2426"/>
    </row>
    <row r="2427" spans="1:15" ht="18" x14ac:dyDescent="0.55000000000000004">
      <c r="A2427"/>
      <c r="B2427"/>
      <c r="C2427"/>
      <c r="D2427"/>
      <c r="E2427"/>
      <c r="F2427"/>
      <c r="G2427"/>
      <c r="H2427"/>
      <c r="I2427"/>
      <c r="J2427" s="33"/>
      <c r="K2427"/>
      <c r="L2427"/>
      <c r="M2427"/>
      <c r="N2427"/>
      <c r="O2427"/>
    </row>
    <row r="2428" spans="1:15" ht="18" x14ac:dyDescent="0.55000000000000004">
      <c r="A2428"/>
      <c r="B2428"/>
      <c r="C2428"/>
      <c r="D2428"/>
      <c r="E2428"/>
      <c r="F2428"/>
      <c r="G2428"/>
      <c r="H2428"/>
      <c r="I2428"/>
      <c r="J2428" s="33"/>
      <c r="K2428"/>
      <c r="L2428"/>
      <c r="M2428"/>
      <c r="N2428"/>
      <c r="O2428"/>
    </row>
    <row r="2429" spans="1:15" ht="18" x14ac:dyDescent="0.55000000000000004">
      <c r="A2429"/>
      <c r="B2429"/>
      <c r="C2429"/>
      <c r="D2429"/>
      <c r="E2429"/>
      <c r="F2429"/>
      <c r="G2429"/>
      <c r="H2429"/>
      <c r="I2429"/>
      <c r="J2429" s="33"/>
      <c r="K2429"/>
      <c r="L2429"/>
      <c r="M2429"/>
      <c r="N2429"/>
      <c r="O2429"/>
    </row>
    <row r="2430" spans="1:15" ht="18" x14ac:dyDescent="0.55000000000000004">
      <c r="A2430"/>
      <c r="B2430"/>
      <c r="C2430"/>
      <c r="D2430"/>
      <c r="E2430"/>
      <c r="F2430"/>
      <c r="G2430"/>
      <c r="H2430"/>
      <c r="I2430"/>
      <c r="J2430" s="33"/>
      <c r="K2430"/>
      <c r="L2430"/>
      <c r="M2430"/>
      <c r="N2430"/>
      <c r="O2430"/>
    </row>
    <row r="2431" spans="1:15" ht="18" x14ac:dyDescent="0.55000000000000004">
      <c r="A2431"/>
      <c r="B2431"/>
      <c r="C2431"/>
      <c r="D2431"/>
      <c r="E2431"/>
      <c r="F2431"/>
      <c r="G2431"/>
      <c r="H2431"/>
      <c r="I2431"/>
      <c r="J2431" s="33"/>
      <c r="K2431"/>
      <c r="L2431"/>
      <c r="M2431"/>
      <c r="N2431"/>
      <c r="O2431"/>
    </row>
    <row r="2432" spans="1:15" ht="18" x14ac:dyDescent="0.55000000000000004">
      <c r="A2432"/>
      <c r="B2432"/>
      <c r="C2432"/>
      <c r="D2432"/>
      <c r="E2432"/>
      <c r="F2432"/>
      <c r="G2432"/>
      <c r="H2432"/>
      <c r="I2432"/>
      <c r="J2432" s="33"/>
      <c r="K2432"/>
      <c r="L2432"/>
      <c r="M2432"/>
      <c r="N2432"/>
      <c r="O2432"/>
    </row>
  </sheetData>
  <phoneticPr fontId="1"/>
  <conditionalFormatting sqref="D2:D42">
    <cfRule type="expression" dxfId="3" priority="1" stopIfTrue="1">
      <formula>AND(D2&lt;&gt;"",ISNA(MATCH(D2,ドメインタイプKEY,0)))</formula>
    </cfRule>
    <cfRule type="expression" dxfId="2" priority="4" stopIfTrue="1">
      <formula>AND(D2&lt;&gt;"",ISNA(MATCH(D2,ドメインタイプKEY,0)))</formula>
    </cfRule>
  </conditionalFormatting>
  <conditionalFormatting sqref="B2:B42 D2:D42 J2:K42">
    <cfRule type="expression" dxfId="1" priority="2" stopIfTrue="1">
      <formula>AND($A2&lt;&gt;"",B2="")</formula>
    </cfRule>
    <cfRule type="expression" dxfId="0" priority="5" stopIfTrue="1">
      <formula>AND($A2&lt;&gt;"",B2="")</formula>
    </cfRule>
  </conditionalFormatting>
  <conditionalFormatting sqref="F2:G2 G4:G5 F7:G7 G8 F12:G12">
    <cfRule type="containsBlanks" dxfId="14" priority="3" stopIfTrue="1">
      <formula>LEN(TRIM(F2))=0</formula>
    </cfRule>
  </conditionalFormatting>
  <dataValidations count="9">
    <dataValidation imeMode="on" allowBlank="1" showInputMessage="1" showErrorMessage="1" sqref="A2433:A1048576 A1 K1 K2433:K1048576" xr:uid="{82371562-DA48-418A-B9E1-F875CA10CC30}"/>
    <dataValidation imeMode="off" allowBlank="1" showInputMessage="1" showErrorMessage="1" sqref="E1:J1 E2433:J1048576 B1 B2433:B1048576" xr:uid="{A44170C6-B920-46F2-AEA3-D4E9954343F7}"/>
    <dataValidation type="list" allowBlank="1" showInputMessage="1" showErrorMessage="1" sqref="D2:D42" xr:uid="{6091F766-549A-4FBC-838C-8FA76185EF42}">
      <formula1>ドメインタイプKEY</formula1>
    </dataValidation>
    <dataValidation imeMode="off" allowBlank="1" showInputMessage="1" showErrorMessage="1" sqref="E2 E4:E5 E7:E8 E12" xr:uid="{78331D39-F653-48C8-A625-85313D8ABD12}"/>
    <dataValidation type="whole" imeMode="off" allowBlank="1" showInputMessage="1" showErrorMessage="1" error="1-1000の間で入力可能" sqref="F2:G2 F4:G5 F7:G8 F10:G12" xr:uid="{21C0493E-2236-451A-A49F-D9F5B903CFF6}">
      <formula1>1</formula1>
      <formula2>1000</formula2>
    </dataValidation>
    <dataValidation type="whole" imeMode="off" allowBlank="1" showInputMessage="1" showErrorMessage="1" error="数値のみ入力可能" sqref="H6:I6 H9:I9" xr:uid="{386FF25D-6148-48A3-BE82-CF77B06933C0}">
      <formula1>-999999999999</formula1>
      <formula2>999999999999</formula2>
    </dataValidation>
    <dataValidation type="textLength" operator="equal" allowBlank="1" showInputMessage="1" showErrorMessage="1" error="入力不可項目です" sqref="H2:I2 E3:I3 H4:I5 E6:G6 H7:I8 E9:G9 E10:E11 H10:I12" xr:uid="{CC3927C0-DE77-4591-917D-AF394CB9C021}">
      <formula1>0</formula1>
    </dataValidation>
    <dataValidation imeMode="on" allowBlank="1" showInputMessage="1" showErrorMessage="1" sqref="A2:A42 K2:K42" xr:uid="{D321F84F-5133-420F-AEF0-E3E6C939470A}"/>
    <dataValidation imeMode="off" allowBlank="1" showInputMessage="1" showErrorMessage="1" sqref="B2:B42" xr:uid="{ACBCC6F2-8788-4625-897C-863CD39F441B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76"/>
  <sheetViews>
    <sheetView showGridLines="0" zoomScale="99" zoomScaleNormal="99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3" t="s">
        <v>91</v>
      </c>
      <c r="B2" s="43" t="s">
        <v>126</v>
      </c>
      <c r="C2" s="43" t="s">
        <v>127</v>
      </c>
      <c r="D2" s="38" t="str">
        <f t="shared" ref="D2:D42" si="0">camel2snake(C2)</f>
        <v>order_date</v>
      </c>
      <c r="E2" s="43" t="s">
        <v>126</v>
      </c>
    </row>
    <row r="3" spans="1:5" x14ac:dyDescent="0.55000000000000004">
      <c r="A3" s="43" t="s">
        <v>158</v>
      </c>
      <c r="B3" s="43" t="s">
        <v>167</v>
      </c>
      <c r="C3" s="43" t="s">
        <v>129</v>
      </c>
      <c r="D3" s="38" t="str">
        <f t="shared" si="0"/>
        <v>order_pic</v>
      </c>
      <c r="E3" s="43" t="s">
        <v>128</v>
      </c>
    </row>
    <row r="4" spans="1:5" x14ac:dyDescent="0.55000000000000004">
      <c r="A4" s="43" t="s">
        <v>96</v>
      </c>
      <c r="B4" s="43" t="s">
        <v>130</v>
      </c>
      <c r="C4" s="43" t="s">
        <v>131</v>
      </c>
      <c r="D4" s="38" t="str">
        <f t="shared" si="0"/>
        <v>total_order_price</v>
      </c>
      <c r="E4" s="43" t="s">
        <v>146</v>
      </c>
    </row>
    <row r="5" spans="1:5" x14ac:dyDescent="0.55000000000000004">
      <c r="A5" s="43" t="s">
        <v>96</v>
      </c>
      <c r="B5" s="43" t="s">
        <v>132</v>
      </c>
      <c r="C5" s="43" t="s">
        <v>133</v>
      </c>
      <c r="D5" s="38" t="str">
        <f t="shared" si="0"/>
        <v>cost_price</v>
      </c>
      <c r="E5" s="43" t="s">
        <v>132</v>
      </c>
    </row>
    <row r="6" spans="1:5" x14ac:dyDescent="0.55000000000000004">
      <c r="A6" s="43" t="s">
        <v>92</v>
      </c>
      <c r="B6" s="43" t="s">
        <v>134</v>
      </c>
      <c r="C6" s="43" t="s">
        <v>135</v>
      </c>
      <c r="D6" s="38" t="str">
        <f t="shared" si="0"/>
        <v>receiving_quantity</v>
      </c>
      <c r="E6" s="43" t="s">
        <v>134</v>
      </c>
    </row>
    <row r="7" spans="1:5" x14ac:dyDescent="0.55000000000000004">
      <c r="A7" s="43" t="s">
        <v>92</v>
      </c>
      <c r="B7" s="43" t="s">
        <v>136</v>
      </c>
      <c r="C7" s="43" t="s">
        <v>137</v>
      </c>
      <c r="D7" s="38" t="str">
        <f t="shared" si="0"/>
        <v>shipping_quantity</v>
      </c>
      <c r="E7" s="43" t="s">
        <v>136</v>
      </c>
    </row>
    <row r="8" spans="1:5" x14ac:dyDescent="0.55000000000000004">
      <c r="A8" s="43" t="s">
        <v>92</v>
      </c>
      <c r="B8" s="43" t="s">
        <v>138</v>
      </c>
      <c r="C8" s="43" t="s">
        <v>139</v>
      </c>
      <c r="D8" s="38" t="str">
        <f t="shared" si="0"/>
        <v>cancel_quantity</v>
      </c>
      <c r="E8" s="43" t="s">
        <v>138</v>
      </c>
    </row>
    <row r="9" spans="1:5" x14ac:dyDescent="0.55000000000000004">
      <c r="A9" s="43" t="s">
        <v>92</v>
      </c>
      <c r="B9" s="43" t="s">
        <v>140</v>
      </c>
      <c r="C9" s="43" t="s">
        <v>141</v>
      </c>
      <c r="D9" s="38" t="str">
        <f t="shared" si="0"/>
        <v>remaining_quantity</v>
      </c>
      <c r="E9" s="43" t="s">
        <v>140</v>
      </c>
    </row>
    <row r="10" spans="1:5" x14ac:dyDescent="0.55000000000000004">
      <c r="A10" s="43" t="s">
        <v>96</v>
      </c>
      <c r="B10" s="43" t="s">
        <v>142</v>
      </c>
      <c r="C10" s="43" t="s">
        <v>143</v>
      </c>
      <c r="D10" s="38" t="str">
        <f t="shared" si="0"/>
        <v>sellling_price</v>
      </c>
      <c r="E10" s="43" t="s">
        <v>142</v>
      </c>
    </row>
    <row r="11" spans="1:5" x14ac:dyDescent="0.55000000000000004">
      <c r="A11" s="43" t="s">
        <v>158</v>
      </c>
      <c r="B11" s="43" t="s">
        <v>168</v>
      </c>
      <c r="C11" s="43" t="s">
        <v>169</v>
      </c>
      <c r="D11" s="38" t="str">
        <f t="shared" si="0"/>
        <v>product_pic</v>
      </c>
      <c r="E11" s="43" t="s">
        <v>170</v>
      </c>
    </row>
    <row r="12" spans="1:5" x14ac:dyDescent="0.55000000000000004">
      <c r="A12" s="43" t="s">
        <v>96</v>
      </c>
      <c r="B12" s="43" t="s">
        <v>144</v>
      </c>
      <c r="C12" s="43" t="s">
        <v>145</v>
      </c>
      <c r="D12" s="38" t="str">
        <f t="shared" si="0"/>
        <v>remaining_order_price</v>
      </c>
      <c r="E12" s="43" t="s">
        <v>144</v>
      </c>
    </row>
    <row r="13" spans="1:5" x14ac:dyDescent="0.55000000000000004">
      <c r="A13" s="43"/>
      <c r="B13" s="43"/>
      <c r="C13" s="43"/>
      <c r="D13" s="38" t="str">
        <f t="shared" si="0"/>
        <v/>
      </c>
      <c r="E13" s="43"/>
    </row>
    <row r="14" spans="1:5" x14ac:dyDescent="0.55000000000000004">
      <c r="A14" s="43"/>
      <c r="B14" s="43"/>
      <c r="C14" s="43"/>
      <c r="D14" s="38" t="str">
        <f t="shared" si="0"/>
        <v/>
      </c>
      <c r="E14" s="43"/>
    </row>
    <row r="15" spans="1:5" x14ac:dyDescent="0.55000000000000004">
      <c r="A15" s="43"/>
      <c r="B15" s="43"/>
      <c r="C15" s="43"/>
      <c r="D15" s="38" t="str">
        <f t="shared" si="0"/>
        <v/>
      </c>
      <c r="E15" s="43"/>
    </row>
    <row r="16" spans="1:5" x14ac:dyDescent="0.55000000000000004">
      <c r="A16" s="43"/>
      <c r="B16" s="43"/>
      <c r="C16" s="43"/>
      <c r="D16" s="38" t="str">
        <f t="shared" si="0"/>
        <v/>
      </c>
      <c r="E16" s="43"/>
    </row>
    <row r="17" spans="1:5" x14ac:dyDescent="0.55000000000000004">
      <c r="A17" s="43"/>
      <c r="B17" s="43"/>
      <c r="C17" s="43"/>
      <c r="D17" s="38" t="str">
        <f t="shared" si="0"/>
        <v/>
      </c>
      <c r="E17" s="43"/>
    </row>
    <row r="18" spans="1:5" x14ac:dyDescent="0.55000000000000004">
      <c r="A18" s="43"/>
      <c r="B18" s="43"/>
      <c r="C18" s="43"/>
      <c r="D18" s="38" t="str">
        <f t="shared" si="0"/>
        <v/>
      </c>
      <c r="E18" s="43"/>
    </row>
    <row r="19" spans="1:5" x14ac:dyDescent="0.55000000000000004">
      <c r="A19" s="43"/>
      <c r="B19" s="43"/>
      <c r="C19" s="43"/>
      <c r="D19" s="38" t="str">
        <f t="shared" si="0"/>
        <v/>
      </c>
      <c r="E19" s="43"/>
    </row>
    <row r="20" spans="1:5" x14ac:dyDescent="0.55000000000000004">
      <c r="A20" s="43"/>
      <c r="B20" s="43"/>
      <c r="C20" s="43"/>
      <c r="D20" s="38" t="str">
        <f t="shared" si="0"/>
        <v/>
      </c>
      <c r="E20" s="43"/>
    </row>
    <row r="21" spans="1:5" x14ac:dyDescent="0.55000000000000004">
      <c r="A21" s="43"/>
      <c r="B21" s="43"/>
      <c r="C21" s="43"/>
      <c r="D21" s="38" t="str">
        <f t="shared" si="0"/>
        <v/>
      </c>
      <c r="E21" s="43"/>
    </row>
    <row r="22" spans="1:5" x14ac:dyDescent="0.55000000000000004">
      <c r="A22" s="43"/>
      <c r="B22" s="43"/>
      <c r="C22" s="43"/>
      <c r="D22" s="38" t="str">
        <f t="shared" si="0"/>
        <v/>
      </c>
      <c r="E22" s="43"/>
    </row>
    <row r="23" spans="1:5" x14ac:dyDescent="0.55000000000000004">
      <c r="A23" s="43"/>
      <c r="B23" s="43"/>
      <c r="C23" s="43"/>
      <c r="D23" s="38" t="str">
        <f t="shared" si="0"/>
        <v/>
      </c>
      <c r="E23" s="43"/>
    </row>
    <row r="24" spans="1:5" x14ac:dyDescent="0.55000000000000004">
      <c r="A24" s="43"/>
      <c r="B24" s="43"/>
      <c r="C24" s="43"/>
      <c r="D24" s="38" t="str">
        <f t="shared" si="0"/>
        <v/>
      </c>
      <c r="E24" s="43"/>
    </row>
    <row r="25" spans="1:5" x14ac:dyDescent="0.55000000000000004">
      <c r="A25" s="43"/>
      <c r="B25" s="43"/>
      <c r="C25" s="43"/>
      <c r="D25" s="38" t="str">
        <f t="shared" si="0"/>
        <v/>
      </c>
      <c r="E25" s="43"/>
    </row>
    <row r="26" spans="1:5" x14ac:dyDescent="0.55000000000000004">
      <c r="A26" s="43"/>
      <c r="B26" s="43"/>
      <c r="C26" s="43"/>
      <c r="D26" s="38" t="str">
        <f t="shared" si="0"/>
        <v/>
      </c>
      <c r="E26" s="43"/>
    </row>
    <row r="27" spans="1:5" x14ac:dyDescent="0.55000000000000004">
      <c r="A27" s="43"/>
      <c r="B27" s="43"/>
      <c r="C27" s="43"/>
      <c r="D27" s="38" t="str">
        <f t="shared" si="0"/>
        <v/>
      </c>
      <c r="E27" s="43"/>
    </row>
    <row r="28" spans="1:5" x14ac:dyDescent="0.55000000000000004">
      <c r="A28" s="43"/>
      <c r="B28" s="43"/>
      <c r="C28" s="43"/>
      <c r="D28" s="38" t="str">
        <f t="shared" si="0"/>
        <v/>
      </c>
      <c r="E28" s="43"/>
    </row>
    <row r="29" spans="1:5" x14ac:dyDescent="0.55000000000000004">
      <c r="A29" s="43"/>
      <c r="B29" s="43"/>
      <c r="C29" s="43"/>
      <c r="D29" s="38" t="str">
        <f t="shared" si="0"/>
        <v/>
      </c>
      <c r="E29" s="43"/>
    </row>
    <row r="30" spans="1:5" x14ac:dyDescent="0.55000000000000004">
      <c r="A30" s="43"/>
      <c r="B30" s="43"/>
      <c r="C30" s="43"/>
      <c r="D30" s="38" t="str">
        <f t="shared" si="0"/>
        <v/>
      </c>
      <c r="E30" s="43"/>
    </row>
    <row r="31" spans="1:5" x14ac:dyDescent="0.55000000000000004">
      <c r="A31" s="43"/>
      <c r="B31" s="43"/>
      <c r="C31" s="43"/>
      <c r="D31" s="38" t="str">
        <f t="shared" si="0"/>
        <v/>
      </c>
      <c r="E31" s="43"/>
    </row>
    <row r="32" spans="1:5" x14ac:dyDescent="0.55000000000000004">
      <c r="A32" s="43"/>
      <c r="B32" s="43"/>
      <c r="C32" s="43"/>
      <c r="D32" s="38" t="str">
        <f t="shared" si="0"/>
        <v/>
      </c>
      <c r="E32" s="43"/>
    </row>
    <row r="33" spans="1:5" x14ac:dyDescent="0.55000000000000004">
      <c r="A33" s="43"/>
      <c r="B33" s="43"/>
      <c r="C33" s="43"/>
      <c r="D33" s="38" t="str">
        <f t="shared" si="0"/>
        <v/>
      </c>
      <c r="E33" s="43"/>
    </row>
    <row r="34" spans="1:5" x14ac:dyDescent="0.55000000000000004">
      <c r="A34" s="43"/>
      <c r="B34" s="43"/>
      <c r="C34" s="43"/>
      <c r="D34" s="38" t="str">
        <f t="shared" si="0"/>
        <v/>
      </c>
      <c r="E34" s="43"/>
    </row>
    <row r="35" spans="1:5" x14ac:dyDescent="0.55000000000000004">
      <c r="A35" s="43"/>
      <c r="B35" s="43"/>
      <c r="C35" s="43"/>
      <c r="D35" s="38" t="str">
        <f t="shared" si="0"/>
        <v/>
      </c>
      <c r="E35" s="43"/>
    </row>
    <row r="36" spans="1:5" x14ac:dyDescent="0.55000000000000004">
      <c r="A36" s="43"/>
      <c r="B36" s="43"/>
      <c r="C36" s="43"/>
      <c r="D36" s="38" t="str">
        <f t="shared" si="0"/>
        <v/>
      </c>
      <c r="E36" s="43"/>
    </row>
    <row r="37" spans="1:5" x14ac:dyDescent="0.55000000000000004">
      <c r="A37" s="43"/>
      <c r="B37" s="43"/>
      <c r="C37" s="43"/>
      <c r="D37" s="38" t="str">
        <f t="shared" si="0"/>
        <v/>
      </c>
      <c r="E37" s="43"/>
    </row>
    <row r="38" spans="1:5" x14ac:dyDescent="0.55000000000000004">
      <c r="A38" s="43"/>
      <c r="B38" s="43"/>
      <c r="C38" s="43"/>
      <c r="D38" s="38" t="str">
        <f t="shared" si="0"/>
        <v/>
      </c>
      <c r="E38" s="43"/>
    </row>
    <row r="39" spans="1:5" x14ac:dyDescent="0.55000000000000004">
      <c r="A39" s="43"/>
      <c r="B39" s="43"/>
      <c r="C39" s="43"/>
      <c r="D39" s="38" t="str">
        <f t="shared" si="0"/>
        <v/>
      </c>
      <c r="E39" s="43"/>
    </row>
    <row r="40" spans="1:5" x14ac:dyDescent="0.55000000000000004">
      <c r="A40" s="43"/>
      <c r="B40" s="43"/>
      <c r="C40" s="43"/>
      <c r="D40" s="38" t="str">
        <f t="shared" si="0"/>
        <v/>
      </c>
      <c r="E40" s="43"/>
    </row>
    <row r="41" spans="1:5" x14ac:dyDescent="0.55000000000000004">
      <c r="A41" s="43"/>
      <c r="B41" s="43"/>
      <c r="C41" s="43"/>
      <c r="D41" s="38" t="str">
        <f t="shared" si="0"/>
        <v/>
      </c>
      <c r="E41" s="43"/>
    </row>
    <row r="42" spans="1:5" x14ac:dyDescent="0.55000000000000004">
      <c r="A42" s="41"/>
      <c r="B42" s="41"/>
      <c r="C42" s="41"/>
      <c r="D42" s="36" t="str">
        <f t="shared" si="0"/>
        <v/>
      </c>
      <c r="E42" s="41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  <row r="749" spans="1:5" ht="18" x14ac:dyDescent="0.55000000000000004">
      <c r="A749"/>
      <c r="B749"/>
      <c r="C749"/>
      <c r="D749"/>
      <c r="E749"/>
    </row>
    <row r="750" spans="1:5" ht="18" x14ac:dyDescent="0.55000000000000004">
      <c r="A750"/>
      <c r="B750"/>
      <c r="C750"/>
      <c r="D750"/>
      <c r="E750"/>
    </row>
    <row r="751" spans="1:5" ht="18" x14ac:dyDescent="0.55000000000000004">
      <c r="A751"/>
      <c r="B751"/>
      <c r="C751"/>
      <c r="D751"/>
      <c r="E751"/>
    </row>
    <row r="752" spans="1:5" ht="18" x14ac:dyDescent="0.55000000000000004">
      <c r="A752"/>
      <c r="B752"/>
      <c r="C752"/>
      <c r="D752"/>
      <c r="E752"/>
    </row>
    <row r="753" spans="1:5" ht="18" x14ac:dyDescent="0.55000000000000004">
      <c r="A753"/>
      <c r="B753"/>
      <c r="C753"/>
      <c r="D753"/>
      <c r="E753"/>
    </row>
    <row r="754" spans="1:5" ht="18" x14ac:dyDescent="0.55000000000000004">
      <c r="A754"/>
      <c r="B754"/>
      <c r="C754"/>
      <c r="D754"/>
      <c r="E754"/>
    </row>
    <row r="755" spans="1:5" ht="18" x14ac:dyDescent="0.55000000000000004">
      <c r="A755"/>
      <c r="B755"/>
      <c r="C755"/>
      <c r="D755"/>
      <c r="E755"/>
    </row>
    <row r="756" spans="1:5" ht="18" x14ac:dyDescent="0.55000000000000004">
      <c r="A756"/>
      <c r="B756"/>
      <c r="C756"/>
      <c r="D756"/>
      <c r="E756"/>
    </row>
    <row r="757" spans="1:5" ht="18" x14ac:dyDescent="0.55000000000000004">
      <c r="A757"/>
      <c r="B757"/>
      <c r="C757"/>
      <c r="D757"/>
      <c r="E757"/>
    </row>
    <row r="758" spans="1:5" ht="18" x14ac:dyDescent="0.55000000000000004">
      <c r="A758"/>
      <c r="B758"/>
      <c r="C758"/>
      <c r="D758"/>
      <c r="E758"/>
    </row>
    <row r="759" spans="1:5" ht="18" x14ac:dyDescent="0.55000000000000004">
      <c r="A759"/>
      <c r="B759"/>
      <c r="C759"/>
      <c r="D759"/>
      <c r="E759"/>
    </row>
    <row r="760" spans="1:5" ht="18" x14ac:dyDescent="0.55000000000000004">
      <c r="A760"/>
      <c r="B760"/>
      <c r="C760"/>
      <c r="D760"/>
      <c r="E760"/>
    </row>
    <row r="761" spans="1:5" ht="18" x14ac:dyDescent="0.55000000000000004">
      <c r="A761"/>
      <c r="B761"/>
      <c r="C761"/>
      <c r="D761"/>
      <c r="E761"/>
    </row>
    <row r="762" spans="1:5" ht="18" x14ac:dyDescent="0.55000000000000004">
      <c r="A762"/>
      <c r="B762"/>
      <c r="C762"/>
      <c r="D762"/>
      <c r="E762"/>
    </row>
    <row r="763" spans="1:5" ht="18" x14ac:dyDescent="0.55000000000000004">
      <c r="A763"/>
      <c r="B763"/>
      <c r="C763"/>
      <c r="D763"/>
      <c r="E763"/>
    </row>
    <row r="764" spans="1:5" ht="18" x14ac:dyDescent="0.55000000000000004">
      <c r="A764"/>
      <c r="B764"/>
      <c r="C764"/>
      <c r="D764"/>
      <c r="E764"/>
    </row>
    <row r="765" spans="1:5" ht="18" x14ac:dyDescent="0.55000000000000004">
      <c r="A765"/>
      <c r="B765"/>
      <c r="C765"/>
      <c r="D765"/>
      <c r="E765"/>
    </row>
    <row r="766" spans="1:5" ht="18" x14ac:dyDescent="0.55000000000000004">
      <c r="A766"/>
      <c r="B766"/>
      <c r="C766"/>
      <c r="D766"/>
      <c r="E766"/>
    </row>
    <row r="767" spans="1:5" ht="18" x14ac:dyDescent="0.55000000000000004">
      <c r="A767"/>
      <c r="B767"/>
      <c r="C767"/>
      <c r="D767"/>
      <c r="E767"/>
    </row>
    <row r="768" spans="1:5" ht="18" x14ac:dyDescent="0.55000000000000004">
      <c r="A768"/>
      <c r="B768"/>
      <c r="C768"/>
      <c r="D768"/>
      <c r="E768"/>
    </row>
    <row r="769" spans="1:5" ht="18" x14ac:dyDescent="0.55000000000000004">
      <c r="A769"/>
      <c r="B769"/>
      <c r="C769"/>
      <c r="D769"/>
      <c r="E769"/>
    </row>
    <row r="770" spans="1:5" ht="18" x14ac:dyDescent="0.55000000000000004">
      <c r="A770"/>
      <c r="B770"/>
      <c r="C770"/>
      <c r="D770"/>
      <c r="E770"/>
    </row>
    <row r="771" spans="1:5" ht="18" x14ac:dyDescent="0.55000000000000004">
      <c r="A771"/>
      <c r="B771"/>
      <c r="C771"/>
      <c r="D771"/>
      <c r="E771"/>
    </row>
    <row r="772" spans="1:5" ht="18" x14ac:dyDescent="0.55000000000000004">
      <c r="A772"/>
      <c r="B772"/>
      <c r="C772"/>
      <c r="D772"/>
      <c r="E772"/>
    </row>
    <row r="773" spans="1:5" ht="18" x14ac:dyDescent="0.55000000000000004">
      <c r="A773"/>
      <c r="B773"/>
      <c r="C773"/>
      <c r="D773"/>
      <c r="E773"/>
    </row>
    <row r="774" spans="1:5" ht="18" x14ac:dyDescent="0.55000000000000004">
      <c r="A774"/>
      <c r="B774"/>
      <c r="C774"/>
      <c r="D774"/>
      <c r="E774"/>
    </row>
    <row r="775" spans="1:5" ht="18" x14ac:dyDescent="0.55000000000000004">
      <c r="A775"/>
      <c r="B775"/>
      <c r="C775"/>
      <c r="D775"/>
      <c r="E775"/>
    </row>
    <row r="776" spans="1:5" ht="18" x14ac:dyDescent="0.55000000000000004">
      <c r="A776"/>
      <c r="B776"/>
      <c r="C776"/>
      <c r="D776"/>
      <c r="E776"/>
    </row>
  </sheetData>
  <phoneticPr fontId="1"/>
  <conditionalFormatting sqref="A2:A42">
    <cfRule type="expression" dxfId="9" priority="1" stopIfTrue="1">
      <formula>AND(A2&lt;&gt;"",ISNA(MATCH(A2,項目リスト,0)))</formula>
    </cfRule>
    <cfRule type="expression" dxfId="8" priority="3" stopIfTrue="1">
      <formula>AND(A2&lt;&gt;"",ISNA(MATCH(A2,項目リスト,0)))</formula>
    </cfRule>
    <cfRule type="expression" dxfId="7" priority="5" stopIfTrue="1">
      <formula>AND(A2&lt;&gt;"",ISNA(MATCH(A2,項目リスト,0)))</formula>
    </cfRule>
  </conditionalFormatting>
  <conditionalFormatting sqref="E2:E42 B2:C42">
    <cfRule type="expression" dxfId="6" priority="2" stopIfTrue="1">
      <formula>AND($A2&lt;&gt;"",B2="")</formula>
    </cfRule>
    <cfRule type="expression" dxfId="5" priority="4" stopIfTrue="1">
      <formula>AND($A2&lt;&gt;"",B2="")</formula>
    </cfRule>
    <cfRule type="expression" dxfId="4" priority="6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42" xr:uid="{FB9BE42E-68FD-4BF6-B9C0-FA191404D22B}">
      <formula1>項目リスト</formula1>
    </dataValidation>
    <dataValidation imeMode="on" allowBlank="1" showInputMessage="1" showErrorMessage="1" sqref="B2:B42 E2:E42" xr:uid="{D56BC9F6-EC13-49BC-9A33-B48D7C92BDFD}"/>
    <dataValidation imeMode="off" allowBlank="1" showInputMessage="1" showErrorMessage="1" sqref="C2:C42" xr:uid="{2C728A56-CF9E-4B60-B48C-C03B8CB90520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102"/>
  <sheetViews>
    <sheetView showGridLines="0" workbookViewId="0">
      <pane ySplit="1" topLeftCell="A2" activePane="bottomLeft" state="frozen"/>
      <selection activeCell="E5" sqref="E5"/>
      <selection pane="bottomLeft" activeCell="B7" sqref="B7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43" t="s">
        <v>99</v>
      </c>
      <c r="B2" s="43" t="s">
        <v>147</v>
      </c>
      <c r="C2" s="43" t="s">
        <v>148</v>
      </c>
      <c r="D2" s="43" t="s">
        <v>149</v>
      </c>
    </row>
    <row r="3" spans="1:4" x14ac:dyDescent="0.55000000000000004">
      <c r="A3" s="43" t="s">
        <v>99</v>
      </c>
      <c r="B3" s="43" t="s">
        <v>150</v>
      </c>
      <c r="C3" s="43" t="s">
        <v>151</v>
      </c>
      <c r="D3" s="43" t="s">
        <v>152</v>
      </c>
    </row>
    <row r="4" spans="1:4" x14ac:dyDescent="0.55000000000000004">
      <c r="A4" s="43" t="s">
        <v>99</v>
      </c>
      <c r="B4" s="43" t="s">
        <v>124</v>
      </c>
      <c r="C4" s="43" t="s">
        <v>153</v>
      </c>
      <c r="D4" s="43" t="s">
        <v>153</v>
      </c>
    </row>
    <row r="5" spans="1:4" x14ac:dyDescent="0.55000000000000004">
      <c r="A5" s="43" t="s">
        <v>99</v>
      </c>
      <c r="B5" s="43" t="s">
        <v>154</v>
      </c>
      <c r="C5" s="43" t="s">
        <v>155</v>
      </c>
      <c r="D5" s="43" t="s">
        <v>155</v>
      </c>
    </row>
    <row r="6" spans="1:4" x14ac:dyDescent="0.55000000000000004">
      <c r="A6" s="43" t="s">
        <v>159</v>
      </c>
      <c r="B6" s="43" t="s">
        <v>154</v>
      </c>
      <c r="C6" s="43" t="s">
        <v>155</v>
      </c>
      <c r="D6" s="43" t="s">
        <v>155</v>
      </c>
    </row>
    <row r="7" spans="1:4" x14ac:dyDescent="0.55000000000000004">
      <c r="A7" s="43" t="s">
        <v>159</v>
      </c>
      <c r="B7" s="43" t="s">
        <v>163</v>
      </c>
      <c r="C7" s="43" t="s">
        <v>171</v>
      </c>
      <c r="D7" s="43" t="s">
        <v>171</v>
      </c>
    </row>
    <row r="8" spans="1:4" x14ac:dyDescent="0.55000000000000004">
      <c r="A8" s="43" t="s">
        <v>159</v>
      </c>
      <c r="B8" s="43" t="s">
        <v>172</v>
      </c>
      <c r="C8" s="43" t="s">
        <v>173</v>
      </c>
      <c r="D8" s="43" t="s">
        <v>173</v>
      </c>
    </row>
    <row r="9" spans="1:4" x14ac:dyDescent="0.55000000000000004">
      <c r="A9" s="43" t="s">
        <v>159</v>
      </c>
      <c r="B9" s="43" t="s">
        <v>174</v>
      </c>
      <c r="C9" s="43" t="s">
        <v>175</v>
      </c>
      <c r="D9" s="43" t="s">
        <v>175</v>
      </c>
    </row>
    <row r="10" spans="1:4" x14ac:dyDescent="0.55000000000000004">
      <c r="A10" s="43"/>
      <c r="B10" s="43"/>
      <c r="C10" s="43"/>
      <c r="D10" s="43"/>
    </row>
    <row r="11" spans="1:4" x14ac:dyDescent="0.55000000000000004">
      <c r="A11" s="43"/>
      <c r="B11" s="43"/>
      <c r="C11" s="43"/>
      <c r="D11" s="43"/>
    </row>
    <row r="12" spans="1:4" x14ac:dyDescent="0.55000000000000004">
      <c r="A12" s="43"/>
      <c r="B12" s="43"/>
      <c r="C12" s="43"/>
      <c r="D12" s="43"/>
    </row>
    <row r="13" spans="1:4" x14ac:dyDescent="0.55000000000000004">
      <c r="A13" s="43"/>
      <c r="B13" s="43"/>
      <c r="C13" s="43"/>
      <c r="D13" s="43"/>
    </row>
    <row r="14" spans="1:4" x14ac:dyDescent="0.55000000000000004">
      <c r="A14" s="43"/>
      <c r="B14" s="43"/>
      <c r="C14" s="43"/>
      <c r="D14" s="43"/>
    </row>
    <row r="15" spans="1:4" x14ac:dyDescent="0.55000000000000004">
      <c r="A15" s="43"/>
      <c r="B15" s="43"/>
      <c r="C15" s="43"/>
      <c r="D15" s="43"/>
    </row>
    <row r="16" spans="1:4" x14ac:dyDescent="0.55000000000000004">
      <c r="A16" s="43"/>
      <c r="B16" s="43"/>
      <c r="C16" s="43"/>
      <c r="D16" s="43"/>
    </row>
    <row r="17" spans="1:4" x14ac:dyDescent="0.55000000000000004">
      <c r="A17" s="43"/>
      <c r="B17" s="43"/>
      <c r="C17" s="43"/>
      <c r="D17" s="43"/>
    </row>
    <row r="18" spans="1:4" x14ac:dyDescent="0.55000000000000004">
      <c r="A18" s="43"/>
      <c r="B18" s="43"/>
      <c r="C18" s="43"/>
      <c r="D18" s="43"/>
    </row>
    <row r="19" spans="1:4" x14ac:dyDescent="0.55000000000000004">
      <c r="A19" s="43"/>
      <c r="B19" s="43"/>
      <c r="C19" s="43"/>
      <c r="D19" s="43"/>
    </row>
    <row r="20" spans="1:4" x14ac:dyDescent="0.55000000000000004">
      <c r="A20" s="43"/>
      <c r="B20" s="43"/>
      <c r="C20" s="43"/>
      <c r="D20" s="43"/>
    </row>
    <row r="21" spans="1:4" x14ac:dyDescent="0.55000000000000004">
      <c r="A21" s="43"/>
      <c r="B21" s="43"/>
      <c r="C21" s="43"/>
      <c r="D21" s="43"/>
    </row>
    <row r="22" spans="1:4" x14ac:dyDescent="0.55000000000000004">
      <c r="A22" s="43"/>
      <c r="B22" s="43"/>
      <c r="C22" s="43"/>
      <c r="D22" s="43"/>
    </row>
    <row r="23" spans="1:4" x14ac:dyDescent="0.55000000000000004">
      <c r="A23" s="43"/>
      <c r="B23" s="43"/>
      <c r="C23" s="43"/>
      <c r="D23" s="43"/>
    </row>
    <row r="24" spans="1:4" x14ac:dyDescent="0.55000000000000004">
      <c r="A24" s="43"/>
      <c r="B24" s="43"/>
      <c r="C24" s="43"/>
      <c r="D24" s="43"/>
    </row>
    <row r="25" spans="1:4" x14ac:dyDescent="0.55000000000000004">
      <c r="A25" s="43"/>
      <c r="B25" s="43"/>
      <c r="C25" s="43"/>
      <c r="D25" s="43"/>
    </row>
    <row r="26" spans="1:4" x14ac:dyDescent="0.55000000000000004">
      <c r="A26" s="43"/>
      <c r="B26" s="43"/>
      <c r="C26" s="43"/>
      <c r="D26" s="43"/>
    </row>
    <row r="27" spans="1:4" x14ac:dyDescent="0.55000000000000004">
      <c r="A27" s="43"/>
      <c r="B27" s="43"/>
      <c r="C27" s="43"/>
      <c r="D27" s="43"/>
    </row>
    <row r="28" spans="1:4" x14ac:dyDescent="0.55000000000000004">
      <c r="A28" s="43"/>
      <c r="B28" s="43"/>
      <c r="C28" s="43"/>
      <c r="D28" s="43"/>
    </row>
    <row r="29" spans="1:4" x14ac:dyDescent="0.55000000000000004">
      <c r="A29" s="43"/>
      <c r="B29" s="43"/>
      <c r="C29" s="43"/>
      <c r="D29" s="43"/>
    </row>
    <row r="30" spans="1:4" x14ac:dyDescent="0.55000000000000004">
      <c r="A30" s="43"/>
      <c r="B30" s="43"/>
      <c r="C30" s="43"/>
      <c r="D30" s="43"/>
    </row>
    <row r="31" spans="1:4" x14ac:dyDescent="0.55000000000000004">
      <c r="A31" s="43"/>
      <c r="B31" s="43"/>
      <c r="C31" s="43"/>
      <c r="D31" s="43"/>
    </row>
    <row r="32" spans="1:4" x14ac:dyDescent="0.55000000000000004">
      <c r="A32" s="43"/>
      <c r="B32" s="43"/>
      <c r="C32" s="43"/>
      <c r="D32" s="43"/>
    </row>
    <row r="33" spans="1:4" x14ac:dyDescent="0.55000000000000004">
      <c r="A33" s="43"/>
      <c r="B33" s="43"/>
      <c r="C33" s="43"/>
      <c r="D33" s="43"/>
    </row>
    <row r="34" spans="1:4" x14ac:dyDescent="0.55000000000000004">
      <c r="A34" s="43"/>
      <c r="B34" s="43"/>
      <c r="C34" s="43"/>
      <c r="D34" s="43"/>
    </row>
    <row r="35" spans="1:4" x14ac:dyDescent="0.55000000000000004">
      <c r="A35" s="43"/>
      <c r="B35" s="43"/>
      <c r="C35" s="43"/>
      <c r="D35" s="43"/>
    </row>
    <row r="36" spans="1:4" x14ac:dyDescent="0.55000000000000004">
      <c r="A36" s="43"/>
      <c r="B36" s="43"/>
      <c r="C36" s="43"/>
      <c r="D36" s="43"/>
    </row>
    <row r="37" spans="1:4" x14ac:dyDescent="0.55000000000000004">
      <c r="A37" s="43"/>
      <c r="B37" s="43"/>
      <c r="C37" s="43"/>
      <c r="D37" s="43"/>
    </row>
    <row r="38" spans="1:4" x14ac:dyDescent="0.55000000000000004">
      <c r="A38" s="43"/>
      <c r="B38" s="43"/>
      <c r="C38" s="43"/>
      <c r="D38" s="43"/>
    </row>
    <row r="39" spans="1:4" x14ac:dyDescent="0.55000000000000004">
      <c r="A39" s="41"/>
      <c r="B39" s="41"/>
      <c r="C39" s="41"/>
      <c r="D39" s="41"/>
    </row>
    <row r="40" spans="1:4" ht="18" x14ac:dyDescent="0.55000000000000004">
      <c r="A40"/>
      <c r="B40"/>
      <c r="C40"/>
      <c r="D40"/>
    </row>
    <row r="41" spans="1:4" ht="18" x14ac:dyDescent="0.55000000000000004">
      <c r="A41"/>
      <c r="B41"/>
      <c r="C41"/>
      <c r="D41"/>
    </row>
    <row r="42" spans="1:4" ht="18" x14ac:dyDescent="0.55000000000000004">
      <c r="A42"/>
      <c r="B42"/>
      <c r="C42"/>
      <c r="D42"/>
    </row>
    <row r="43" spans="1:4" ht="18" x14ac:dyDescent="0.55000000000000004">
      <c r="A43"/>
      <c r="B43"/>
      <c r="C43"/>
      <c r="D43"/>
    </row>
    <row r="44" spans="1:4" ht="18" x14ac:dyDescent="0.55000000000000004">
      <c r="A44"/>
      <c r="B44"/>
      <c r="C44"/>
      <c r="D44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  <row r="1075" spans="1:4" ht="18" x14ac:dyDescent="0.55000000000000004">
      <c r="A1075"/>
      <c r="B1075"/>
      <c r="C1075"/>
      <c r="D1075"/>
    </row>
    <row r="1076" spans="1:4" ht="18" x14ac:dyDescent="0.55000000000000004">
      <c r="A1076"/>
      <c r="B1076"/>
      <c r="C1076"/>
      <c r="D1076"/>
    </row>
    <row r="1077" spans="1:4" ht="18" x14ac:dyDescent="0.55000000000000004">
      <c r="A1077"/>
      <c r="B1077"/>
      <c r="C1077"/>
      <c r="D1077"/>
    </row>
    <row r="1078" spans="1:4" ht="18" x14ac:dyDescent="0.55000000000000004">
      <c r="A1078"/>
      <c r="B1078"/>
      <c r="C1078"/>
      <c r="D1078"/>
    </row>
    <row r="1079" spans="1:4" ht="18" x14ac:dyDescent="0.55000000000000004">
      <c r="A1079"/>
      <c r="B1079"/>
      <c r="C1079"/>
      <c r="D1079"/>
    </row>
    <row r="1080" spans="1:4" ht="18" x14ac:dyDescent="0.55000000000000004">
      <c r="A1080"/>
      <c r="B1080"/>
      <c r="C1080"/>
      <c r="D1080"/>
    </row>
    <row r="1081" spans="1:4" ht="18" x14ac:dyDescent="0.55000000000000004">
      <c r="A1081"/>
      <c r="B1081"/>
      <c r="C1081"/>
      <c r="D1081"/>
    </row>
    <row r="1082" spans="1:4" ht="18" x14ac:dyDescent="0.55000000000000004">
      <c r="A1082"/>
      <c r="B1082"/>
      <c r="C1082"/>
      <c r="D1082"/>
    </row>
    <row r="1083" spans="1:4" ht="18" x14ac:dyDescent="0.55000000000000004">
      <c r="A1083"/>
      <c r="B1083"/>
      <c r="C1083"/>
      <c r="D1083"/>
    </row>
    <row r="1084" spans="1:4" ht="18" x14ac:dyDescent="0.55000000000000004">
      <c r="A1084"/>
      <c r="B1084"/>
      <c r="C1084"/>
      <c r="D1084"/>
    </row>
    <row r="1085" spans="1:4" ht="18" x14ac:dyDescent="0.55000000000000004">
      <c r="A1085"/>
      <c r="B1085"/>
      <c r="C1085"/>
      <c r="D1085"/>
    </row>
    <row r="1086" spans="1:4" ht="18" x14ac:dyDescent="0.55000000000000004">
      <c r="A1086"/>
      <c r="B1086"/>
      <c r="C1086"/>
      <c r="D1086"/>
    </row>
    <row r="1087" spans="1:4" ht="18" x14ac:dyDescent="0.55000000000000004">
      <c r="A1087"/>
      <c r="B1087"/>
      <c r="C1087"/>
      <c r="D1087"/>
    </row>
    <row r="1088" spans="1:4" ht="18" x14ac:dyDescent="0.55000000000000004">
      <c r="A1088"/>
      <c r="B1088"/>
      <c r="C1088"/>
      <c r="D1088"/>
    </row>
    <row r="1089" spans="1:4" ht="18" x14ac:dyDescent="0.55000000000000004">
      <c r="A1089"/>
      <c r="B1089"/>
      <c r="C1089"/>
      <c r="D1089"/>
    </row>
    <row r="1090" spans="1:4" ht="18" x14ac:dyDescent="0.55000000000000004">
      <c r="A1090"/>
      <c r="B1090"/>
      <c r="C1090"/>
      <c r="D1090"/>
    </row>
    <row r="1091" spans="1:4" ht="18" x14ac:dyDescent="0.55000000000000004">
      <c r="A1091"/>
      <c r="B1091"/>
      <c r="C1091"/>
      <c r="D1091"/>
    </row>
    <row r="1092" spans="1:4" ht="18" x14ac:dyDescent="0.55000000000000004">
      <c r="A1092"/>
      <c r="B1092"/>
      <c r="C1092"/>
      <c r="D1092"/>
    </row>
    <row r="1093" spans="1:4" ht="18" x14ac:dyDescent="0.55000000000000004">
      <c r="A1093"/>
      <c r="B1093"/>
      <c r="C1093"/>
      <c r="D1093"/>
    </row>
    <row r="1094" spans="1:4" ht="18" x14ac:dyDescent="0.55000000000000004">
      <c r="A1094"/>
      <c r="B1094"/>
      <c r="C1094"/>
      <c r="D1094"/>
    </row>
    <row r="1095" spans="1:4" ht="18" x14ac:dyDescent="0.55000000000000004">
      <c r="A1095"/>
      <c r="B1095"/>
      <c r="C1095"/>
      <c r="D1095"/>
    </row>
    <row r="1096" spans="1:4" ht="18" x14ac:dyDescent="0.55000000000000004">
      <c r="A1096"/>
      <c r="B1096"/>
      <c r="C1096"/>
      <c r="D1096"/>
    </row>
    <row r="1097" spans="1:4" ht="18" x14ac:dyDescent="0.55000000000000004">
      <c r="A1097"/>
      <c r="B1097"/>
      <c r="C1097"/>
      <c r="D1097"/>
    </row>
    <row r="1098" spans="1:4" ht="18" x14ac:dyDescent="0.55000000000000004">
      <c r="A1098"/>
      <c r="B1098"/>
      <c r="C1098"/>
      <c r="D1098"/>
    </row>
    <row r="1099" spans="1:4" ht="18" x14ac:dyDescent="0.55000000000000004">
      <c r="A1099"/>
      <c r="B1099"/>
      <c r="C1099"/>
      <c r="D1099"/>
    </row>
    <row r="1100" spans="1:4" ht="18" x14ac:dyDescent="0.55000000000000004">
      <c r="A1100"/>
      <c r="B1100"/>
      <c r="C1100"/>
      <c r="D1100"/>
    </row>
    <row r="1101" spans="1:4" ht="18" x14ac:dyDescent="0.55000000000000004">
      <c r="A1101"/>
      <c r="B1101"/>
      <c r="C1101"/>
      <c r="D1101"/>
    </row>
    <row r="1102" spans="1:4" ht="18" x14ac:dyDescent="0.55000000000000004">
      <c r="A1102"/>
      <c r="B1102"/>
      <c r="C1102"/>
      <c r="D1102"/>
    </row>
  </sheetData>
  <phoneticPr fontId="1"/>
  <conditionalFormatting sqref="A2:A39">
    <cfRule type="expression" dxfId="13" priority="1" stopIfTrue="1">
      <formula>AND(A2&lt;&gt;"",ISNA(MATCH(A2,区分値リスト,0)))</formula>
    </cfRule>
    <cfRule type="expression" dxfId="12" priority="3" stopIfTrue="1">
      <formula>AND(A2&lt;&gt;"",ISNA(MATCH(A2,区分値リスト,0)))</formula>
    </cfRule>
  </conditionalFormatting>
  <conditionalFormatting sqref="B2:D39">
    <cfRule type="expression" dxfId="11" priority="2" stopIfTrue="1">
      <formula>AND($A2&lt;&gt;"",B2="")</formula>
    </cfRule>
    <cfRule type="expression" dxfId="10" priority="4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39" xr:uid="{6023A3D2-5A66-44B7-90D4-13F3190857F7}">
      <formula1>区分値リスト</formula1>
    </dataValidation>
    <dataValidation imeMode="on" allowBlank="1" showInputMessage="1" showErrorMessage="1" sqref="C2:D39" xr:uid="{465191BE-1CFA-4FFF-8276-AE34005EEEFA}"/>
    <dataValidation imeMode="off" allowBlank="1" showInputMessage="1" showErrorMessage="1" sqref="B2:B39" xr:uid="{C66B6363-C7A1-4004-B344-9567EA20C1FF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3" activePane="bottomLeft" state="frozen"/>
      <selection pane="bottomLeft" activeCell="H14" sqref="H1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0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17" priority="1" operator="equal">
      <formula>0</formula>
    </cfRule>
    <cfRule type="cellIs" dxfId="16" priority="2" operator="lessThan">
      <formula>0</formula>
    </cfRule>
    <cfRule type="cellIs" dxfId="15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12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156</v>
      </c>
      <c r="F2" t="s">
        <v>160</v>
      </c>
    </row>
    <row r="3" spans="1:6" x14ac:dyDescent="0.55000000000000004">
      <c r="B3" s="25" t="s">
        <v>75</v>
      </c>
      <c r="D3" t="s">
        <v>91</v>
      </c>
      <c r="F3" t="s">
        <v>99</v>
      </c>
    </row>
    <row r="4" spans="1:6" x14ac:dyDescent="0.55000000000000004">
      <c r="D4" t="s">
        <v>157</v>
      </c>
    </row>
    <row r="5" spans="1:6" x14ac:dyDescent="0.55000000000000004">
      <c r="A5" t="s">
        <v>81</v>
      </c>
      <c r="B5" s="27" t="s">
        <v>83</v>
      </c>
      <c r="D5" t="s">
        <v>95</v>
      </c>
    </row>
    <row r="6" spans="1:6" x14ac:dyDescent="0.55000000000000004">
      <c r="A6" t="s">
        <v>80</v>
      </c>
      <c r="B6" s="27"/>
      <c r="D6" t="s">
        <v>96</v>
      </c>
    </row>
    <row r="7" spans="1:6" x14ac:dyDescent="0.55000000000000004">
      <c r="A7" t="s">
        <v>82</v>
      </c>
      <c r="B7" s="27" t="s">
        <v>83</v>
      </c>
      <c r="D7" t="s">
        <v>97</v>
      </c>
    </row>
    <row r="8" spans="1:6" x14ac:dyDescent="0.55000000000000004">
      <c r="D8" t="s">
        <v>98</v>
      </c>
    </row>
    <row r="9" spans="1:6" x14ac:dyDescent="0.55000000000000004">
      <c r="D9" t="s">
        <v>92</v>
      </c>
    </row>
    <row r="10" spans="1:6" x14ac:dyDescent="0.55000000000000004">
      <c r="D10" t="s">
        <v>159</v>
      </c>
    </row>
    <row r="11" spans="1:6" x14ac:dyDescent="0.55000000000000004">
      <c r="D11" t="s">
        <v>99</v>
      </c>
    </row>
    <row r="12" spans="1:6" x14ac:dyDescent="0.55000000000000004">
      <c r="D12" t="s">
        <v>158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2025-01-18T23:05:17Z</dcterms:modified>
</cp:coreProperties>
</file>